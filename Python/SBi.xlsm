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LN\Documents\GitHub\energyMapper\Python\"/>
    </mc:Choice>
  </mc:AlternateContent>
  <xr:revisionPtr revIDLastSave="0" documentId="13_ncr:1_{22ACE987-4A5C-480A-A75E-B00CF5934283}" xr6:coauthVersionLast="41" xr6:coauthVersionMax="41" xr10:uidLastSave="{00000000-0000-0000-0000-000000000000}"/>
  <bookViews>
    <workbookView xWindow="32415" yWindow="-15375" windowWidth="21600" windowHeight="11385" tabRatio="678" xr2:uid="{00000000-000D-0000-FFFF-FFFF00000000}"/>
  </bookViews>
  <sheets>
    <sheet name="Energi" sheetId="1" r:id="rId1"/>
    <sheet name="MWhSum" sheetId="2" r:id="rId2"/>
    <sheet name="Antal" sheetId="12" r:id="rId3"/>
    <sheet name="SBi" sheetId="3" r:id="rId4"/>
    <sheet name="SBiTab" sheetId="9" r:id="rId5"/>
    <sheet name="VpD" sheetId="8" r:id="rId6"/>
    <sheet name="Opvarmningsmiddel" sheetId="4" r:id="rId7"/>
    <sheet name="Anvendelseskode" sheetId="5" r:id="rId8"/>
    <sheet name="Varmeinstallation" sheetId="6" r:id="rId9"/>
    <sheet name="Relationstabel" sheetId="7" r:id="rId10"/>
    <sheet name="Omraader" sheetId="10" r:id="rId11"/>
    <sheet name="BygningOmraade" sheetId="11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1" l="1"/>
  <c r="H2" i="1"/>
  <c r="X2" i="1" l="1"/>
  <c r="N1" i="1"/>
  <c r="M1" i="1"/>
  <c r="L1" i="1"/>
  <c r="I2" i="1"/>
  <c r="A2" i="1" l="1"/>
  <c r="E2" i="1"/>
  <c r="W2" i="1"/>
  <c r="V2" i="1" l="1"/>
  <c r="U2" i="1"/>
  <c r="M2" i="1"/>
  <c r="L2" i="1"/>
  <c r="N2" i="1"/>
  <c r="J2" i="1"/>
  <c r="C2" i="1"/>
  <c r="F2" i="1"/>
  <c r="G2" i="1"/>
  <c r="B2" i="1"/>
  <c r="D2" i="1"/>
  <c r="R2" i="1" l="1"/>
  <c r="O2" i="1"/>
  <c r="S2" i="1" l="1"/>
  <c r="T2" i="1" s="1"/>
  <c r="P2" i="1"/>
  <c r="Q2" i="1" s="1"/>
  <c r="V12" i="12"/>
  <c r="U12" i="12"/>
  <c r="T12" i="12"/>
  <c r="S12" i="12"/>
  <c r="R12" i="12"/>
  <c r="Q12" i="12"/>
  <c r="P12" i="12"/>
  <c r="O12" i="12"/>
  <c r="N12" i="12"/>
  <c r="K12" i="12"/>
  <c r="J12" i="12"/>
  <c r="I12" i="12"/>
  <c r="H12" i="12"/>
  <c r="G12" i="12"/>
  <c r="F12" i="12"/>
  <c r="E12" i="12"/>
  <c r="D12" i="12"/>
  <c r="C12" i="12"/>
  <c r="N1" i="12"/>
  <c r="N1" i="2"/>
  <c r="V12" i="2" l="1"/>
  <c r="U12" i="2"/>
  <c r="T12" i="2"/>
  <c r="S12" i="2"/>
  <c r="R12" i="2"/>
  <c r="Q12" i="2"/>
  <c r="P12" i="2"/>
  <c r="O12" i="2"/>
  <c r="N12" i="2"/>
  <c r="C3" i="9" l="1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" i="9"/>
  <c r="K12" i="2" l="1"/>
  <c r="J12" i="2"/>
  <c r="I12" i="2"/>
  <c r="H12" i="2"/>
  <c r="G12" i="2"/>
  <c r="F12" i="2"/>
  <c r="E12" i="2"/>
  <c r="D12" i="2"/>
  <c r="C12" i="2"/>
  <c r="Q7" i="12" l="1"/>
  <c r="F7" i="12"/>
  <c r="Q6" i="12"/>
  <c r="F6" i="12"/>
  <c r="Q5" i="12"/>
  <c r="F5" i="12"/>
  <c r="Q4" i="12"/>
  <c r="F4" i="12"/>
  <c r="Q3" i="12"/>
  <c r="F3" i="12"/>
  <c r="E3" i="12"/>
  <c r="D7" i="12"/>
  <c r="D5" i="12"/>
  <c r="O3" i="12"/>
  <c r="U4" i="12"/>
  <c r="P7" i="12"/>
  <c r="E7" i="12"/>
  <c r="P6" i="12"/>
  <c r="E6" i="12"/>
  <c r="P5" i="12"/>
  <c r="E5" i="12"/>
  <c r="P4" i="12"/>
  <c r="E4" i="12"/>
  <c r="P3" i="12"/>
  <c r="O7" i="12"/>
  <c r="D6" i="12"/>
  <c r="O4" i="12"/>
  <c r="D4" i="12"/>
  <c r="D3" i="12"/>
  <c r="O6" i="12"/>
  <c r="O5" i="12"/>
  <c r="N7" i="12"/>
  <c r="C7" i="12"/>
  <c r="N6" i="12"/>
  <c r="C6" i="12"/>
  <c r="N5" i="12"/>
  <c r="C5" i="12"/>
  <c r="N4" i="12"/>
  <c r="C4" i="12"/>
  <c r="N3" i="12"/>
  <c r="C3" i="12"/>
  <c r="U7" i="12"/>
  <c r="U6" i="12"/>
  <c r="U5" i="12"/>
  <c r="U3" i="12"/>
  <c r="T7" i="12"/>
  <c r="I7" i="12"/>
  <c r="T6" i="12"/>
  <c r="I6" i="12"/>
  <c r="T5" i="12"/>
  <c r="I5" i="12"/>
  <c r="T4" i="12"/>
  <c r="I4" i="12"/>
  <c r="T3" i="12"/>
  <c r="I3" i="12"/>
  <c r="R7" i="12"/>
  <c r="R6" i="12"/>
  <c r="G5" i="12"/>
  <c r="R3" i="12"/>
  <c r="S7" i="12"/>
  <c r="H7" i="12"/>
  <c r="S6" i="12"/>
  <c r="H6" i="12"/>
  <c r="S5" i="12"/>
  <c r="H5" i="12"/>
  <c r="S4" i="12"/>
  <c r="H4" i="12"/>
  <c r="S3" i="12"/>
  <c r="H3" i="12"/>
  <c r="G7" i="12"/>
  <c r="R5" i="12"/>
  <c r="G4" i="12"/>
  <c r="G3" i="12"/>
  <c r="G6" i="12"/>
  <c r="R4" i="12"/>
  <c r="S37" i="12"/>
  <c r="H37" i="12"/>
  <c r="S36" i="12"/>
  <c r="H36" i="12"/>
  <c r="S35" i="12"/>
  <c r="H35" i="12"/>
  <c r="S34" i="12"/>
  <c r="H34" i="12"/>
  <c r="S33" i="12"/>
  <c r="H33" i="12"/>
  <c r="S32" i="12"/>
  <c r="H32" i="12"/>
  <c r="S31" i="12"/>
  <c r="H31" i="12"/>
  <c r="S30" i="12"/>
  <c r="H30" i="12"/>
  <c r="S29" i="12"/>
  <c r="H29" i="12"/>
  <c r="S28" i="12"/>
  <c r="H28" i="12"/>
  <c r="S27" i="12"/>
  <c r="H27" i="12"/>
  <c r="S26" i="12"/>
  <c r="H26" i="12"/>
  <c r="S25" i="12"/>
  <c r="H25" i="12"/>
  <c r="S24" i="12"/>
  <c r="H24" i="12"/>
  <c r="S23" i="12"/>
  <c r="H23" i="12"/>
  <c r="S22" i="12"/>
  <c r="H22" i="12"/>
  <c r="S21" i="12"/>
  <c r="H21" i="12"/>
  <c r="S20" i="12"/>
  <c r="H20" i="12"/>
  <c r="S19" i="12"/>
  <c r="H19" i="12"/>
  <c r="S18" i="12"/>
  <c r="H18" i="12"/>
  <c r="S17" i="12"/>
  <c r="H17" i="12"/>
  <c r="S16" i="12"/>
  <c r="H16" i="12"/>
  <c r="S15" i="12"/>
  <c r="H15" i="12"/>
  <c r="S14" i="12"/>
  <c r="H14" i="12"/>
  <c r="S13" i="12"/>
  <c r="H13" i="12"/>
  <c r="Q13" i="12"/>
  <c r="R37" i="12"/>
  <c r="G37" i="12"/>
  <c r="R36" i="12"/>
  <c r="G36" i="12"/>
  <c r="R35" i="12"/>
  <c r="G35" i="12"/>
  <c r="R34" i="12"/>
  <c r="G34" i="12"/>
  <c r="R33" i="12"/>
  <c r="G33" i="12"/>
  <c r="R32" i="12"/>
  <c r="G32" i="12"/>
  <c r="R31" i="12"/>
  <c r="G31" i="12"/>
  <c r="R30" i="12"/>
  <c r="G30" i="12"/>
  <c r="R29" i="12"/>
  <c r="G29" i="12"/>
  <c r="R28" i="12"/>
  <c r="G28" i="12"/>
  <c r="R27" i="12"/>
  <c r="G27" i="12"/>
  <c r="R26" i="12"/>
  <c r="G26" i="12"/>
  <c r="R25" i="12"/>
  <c r="G25" i="12"/>
  <c r="R24" i="12"/>
  <c r="G24" i="12"/>
  <c r="R23" i="12"/>
  <c r="G23" i="12"/>
  <c r="R22" i="12"/>
  <c r="G22" i="12"/>
  <c r="R21" i="12"/>
  <c r="G21" i="12"/>
  <c r="R20" i="12"/>
  <c r="G20" i="12"/>
  <c r="R19" i="12"/>
  <c r="G19" i="12"/>
  <c r="R18" i="12"/>
  <c r="G18" i="12"/>
  <c r="R17" i="12"/>
  <c r="G17" i="12"/>
  <c r="R16" i="12"/>
  <c r="G16" i="12"/>
  <c r="R15" i="12"/>
  <c r="G15" i="12"/>
  <c r="R14" i="12"/>
  <c r="G14" i="12"/>
  <c r="R13" i="12"/>
  <c r="G13" i="12"/>
  <c r="Q14" i="12"/>
  <c r="F13" i="12"/>
  <c r="Q37" i="12"/>
  <c r="F37" i="12"/>
  <c r="Q36" i="12"/>
  <c r="F36" i="12"/>
  <c r="Q35" i="12"/>
  <c r="F35" i="12"/>
  <c r="Q34" i="12"/>
  <c r="F34" i="12"/>
  <c r="Q33" i="12"/>
  <c r="F33" i="12"/>
  <c r="Q32" i="12"/>
  <c r="F32" i="12"/>
  <c r="Q31" i="12"/>
  <c r="F31" i="12"/>
  <c r="Q30" i="12"/>
  <c r="F30" i="12"/>
  <c r="Q29" i="12"/>
  <c r="F29" i="12"/>
  <c r="Q28" i="12"/>
  <c r="F28" i="12"/>
  <c r="Q27" i="12"/>
  <c r="F27" i="12"/>
  <c r="Q26" i="12"/>
  <c r="F26" i="12"/>
  <c r="Q25" i="12"/>
  <c r="F25" i="12"/>
  <c r="Q24" i="12"/>
  <c r="F24" i="12"/>
  <c r="Q23" i="12"/>
  <c r="F23" i="12"/>
  <c r="Q22" i="12"/>
  <c r="F22" i="12"/>
  <c r="Q21" i="12"/>
  <c r="F21" i="12"/>
  <c r="Q20" i="12"/>
  <c r="F20" i="12"/>
  <c r="Q19" i="12"/>
  <c r="F19" i="12"/>
  <c r="Q18" i="12"/>
  <c r="F18" i="12"/>
  <c r="Q17" i="12"/>
  <c r="F17" i="12"/>
  <c r="Q16" i="12"/>
  <c r="F16" i="12"/>
  <c r="Q15" i="12"/>
  <c r="F15" i="12"/>
  <c r="F14" i="12"/>
  <c r="P37" i="12"/>
  <c r="E37" i="12"/>
  <c r="P36" i="12"/>
  <c r="E36" i="12"/>
  <c r="P35" i="12"/>
  <c r="E35" i="12"/>
  <c r="P34" i="12"/>
  <c r="E34" i="12"/>
  <c r="P33" i="12"/>
  <c r="E33" i="12"/>
  <c r="P32" i="12"/>
  <c r="E32" i="12"/>
  <c r="P31" i="12"/>
  <c r="E31" i="12"/>
  <c r="P30" i="12"/>
  <c r="E30" i="12"/>
  <c r="P29" i="12"/>
  <c r="E29" i="12"/>
  <c r="P28" i="12"/>
  <c r="E28" i="12"/>
  <c r="P27" i="12"/>
  <c r="E27" i="12"/>
  <c r="P26" i="12"/>
  <c r="E26" i="12"/>
  <c r="P25" i="12"/>
  <c r="E25" i="12"/>
  <c r="P24" i="12"/>
  <c r="E24" i="12"/>
  <c r="P23" i="12"/>
  <c r="E23" i="12"/>
  <c r="P22" i="12"/>
  <c r="E22" i="12"/>
  <c r="P21" i="12"/>
  <c r="E21" i="12"/>
  <c r="P20" i="12"/>
  <c r="E20" i="12"/>
  <c r="P19" i="12"/>
  <c r="E19" i="12"/>
  <c r="P18" i="12"/>
  <c r="E18" i="12"/>
  <c r="P17" i="12"/>
  <c r="E17" i="12"/>
  <c r="P16" i="12"/>
  <c r="E16" i="12"/>
  <c r="P15" i="12"/>
  <c r="E15" i="12"/>
  <c r="P14" i="12"/>
  <c r="E14" i="12"/>
  <c r="P13" i="12"/>
  <c r="E13" i="12"/>
  <c r="D13" i="12"/>
  <c r="O37" i="12"/>
  <c r="D37" i="12"/>
  <c r="O36" i="12"/>
  <c r="D36" i="12"/>
  <c r="O35" i="12"/>
  <c r="D35" i="12"/>
  <c r="O34" i="12"/>
  <c r="D34" i="12"/>
  <c r="O33" i="12"/>
  <c r="D33" i="12"/>
  <c r="O32" i="12"/>
  <c r="D32" i="12"/>
  <c r="O31" i="12"/>
  <c r="D31" i="12"/>
  <c r="O30" i="12"/>
  <c r="D30" i="12"/>
  <c r="O29" i="12"/>
  <c r="D29" i="12"/>
  <c r="O28" i="12"/>
  <c r="D28" i="12"/>
  <c r="O27" i="12"/>
  <c r="D27" i="12"/>
  <c r="O26" i="12"/>
  <c r="D26" i="12"/>
  <c r="O25" i="12"/>
  <c r="D25" i="12"/>
  <c r="O24" i="12"/>
  <c r="D24" i="12"/>
  <c r="O23" i="12"/>
  <c r="D23" i="12"/>
  <c r="O22" i="12"/>
  <c r="D22" i="12"/>
  <c r="O21" i="12"/>
  <c r="D21" i="12"/>
  <c r="O20" i="12"/>
  <c r="D20" i="12"/>
  <c r="O19" i="12"/>
  <c r="D19" i="12"/>
  <c r="O18" i="12"/>
  <c r="D18" i="12"/>
  <c r="O17" i="12"/>
  <c r="D17" i="12"/>
  <c r="O16" i="12"/>
  <c r="D16" i="12"/>
  <c r="O15" i="12"/>
  <c r="D15" i="12"/>
  <c r="O14" i="12"/>
  <c r="D14" i="12"/>
  <c r="O13" i="12"/>
  <c r="N37" i="12"/>
  <c r="C37" i="12"/>
  <c r="N36" i="12"/>
  <c r="C36" i="12"/>
  <c r="N35" i="12"/>
  <c r="C35" i="12"/>
  <c r="N34" i="12"/>
  <c r="C34" i="12"/>
  <c r="N33" i="12"/>
  <c r="C33" i="12"/>
  <c r="N32" i="12"/>
  <c r="C32" i="12"/>
  <c r="N31" i="12"/>
  <c r="C31" i="12"/>
  <c r="N30" i="12"/>
  <c r="C30" i="12"/>
  <c r="N29" i="12"/>
  <c r="C29" i="12"/>
  <c r="N28" i="12"/>
  <c r="C28" i="12"/>
  <c r="N27" i="12"/>
  <c r="C27" i="12"/>
  <c r="N26" i="12"/>
  <c r="C26" i="12"/>
  <c r="N25" i="12"/>
  <c r="C25" i="12"/>
  <c r="N24" i="12"/>
  <c r="C24" i="12"/>
  <c r="N23" i="12"/>
  <c r="C23" i="12"/>
  <c r="N22" i="12"/>
  <c r="C22" i="12"/>
  <c r="N21" i="12"/>
  <c r="C21" i="12"/>
  <c r="N20" i="12"/>
  <c r="C20" i="12"/>
  <c r="N19" i="12"/>
  <c r="C19" i="12"/>
  <c r="N18" i="12"/>
  <c r="C18" i="12"/>
  <c r="N17" i="12"/>
  <c r="C17" i="12"/>
  <c r="N16" i="12"/>
  <c r="C16" i="12"/>
  <c r="N15" i="12"/>
  <c r="C15" i="12"/>
  <c r="N14" i="12"/>
  <c r="C14" i="12"/>
  <c r="N13" i="12"/>
  <c r="C13" i="12"/>
  <c r="T24" i="12"/>
  <c r="I23" i="12"/>
  <c r="T21" i="12"/>
  <c r="I20" i="12"/>
  <c r="T18" i="12"/>
  <c r="I17" i="12"/>
  <c r="T15" i="12"/>
  <c r="I14" i="12"/>
  <c r="U37" i="12"/>
  <c r="U36" i="12"/>
  <c r="U35" i="12"/>
  <c r="U34" i="12"/>
  <c r="U33" i="12"/>
  <c r="U32" i="12"/>
  <c r="U31" i="12"/>
  <c r="U30" i="12"/>
  <c r="U29" i="12"/>
  <c r="U28" i="12"/>
  <c r="U27" i="12"/>
  <c r="U26" i="12"/>
  <c r="U25" i="12"/>
  <c r="U24" i="12"/>
  <c r="U23" i="12"/>
  <c r="U22" i="12"/>
  <c r="U21" i="12"/>
  <c r="U20" i="12"/>
  <c r="U19" i="12"/>
  <c r="U18" i="12"/>
  <c r="U17" i="12"/>
  <c r="U16" i="12"/>
  <c r="U15" i="12"/>
  <c r="U14" i="12"/>
  <c r="U13" i="12"/>
  <c r="T32" i="12"/>
  <c r="T31" i="12"/>
  <c r="T30" i="12"/>
  <c r="T29" i="12"/>
  <c r="T28" i="12"/>
  <c r="T27" i="12"/>
  <c r="I26" i="12"/>
  <c r="T25" i="12"/>
  <c r="I24" i="12"/>
  <c r="J24" i="12" s="1"/>
  <c r="T22" i="12"/>
  <c r="I21" i="12"/>
  <c r="J21" i="12" s="1"/>
  <c r="T19" i="12"/>
  <c r="I18" i="12"/>
  <c r="J18" i="12" s="1"/>
  <c r="T16" i="12"/>
  <c r="I15" i="12"/>
  <c r="J15" i="12" s="1"/>
  <c r="T13" i="12"/>
  <c r="T37" i="12"/>
  <c r="I37" i="12"/>
  <c r="J37" i="12" s="1"/>
  <c r="T36" i="12"/>
  <c r="I36" i="12"/>
  <c r="J36" i="12" s="1"/>
  <c r="T35" i="12"/>
  <c r="I35" i="12"/>
  <c r="J35" i="12" s="1"/>
  <c r="T34" i="12"/>
  <c r="I34" i="12"/>
  <c r="J34" i="12" s="1"/>
  <c r="T33" i="12"/>
  <c r="I33" i="12"/>
  <c r="J33" i="12" s="1"/>
  <c r="I32" i="12"/>
  <c r="J32" i="12" s="1"/>
  <c r="I31" i="12"/>
  <c r="J31" i="12" s="1"/>
  <c r="I30" i="12"/>
  <c r="J30" i="12" s="1"/>
  <c r="I29" i="12"/>
  <c r="J29" i="12" s="1"/>
  <c r="I28" i="12"/>
  <c r="J28" i="12" s="1"/>
  <c r="I27" i="12"/>
  <c r="J27" i="12" s="1"/>
  <c r="T26" i="12"/>
  <c r="I25" i="12"/>
  <c r="J25" i="12" s="1"/>
  <c r="T23" i="12"/>
  <c r="I22" i="12"/>
  <c r="J22" i="12" s="1"/>
  <c r="T20" i="12"/>
  <c r="I19" i="12"/>
  <c r="J19" i="12" s="1"/>
  <c r="T17" i="12"/>
  <c r="I16" i="12"/>
  <c r="J16" i="12" s="1"/>
  <c r="T14" i="12"/>
  <c r="I13" i="12"/>
  <c r="N13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T13" i="2"/>
  <c r="Q27" i="2"/>
  <c r="Q21" i="2"/>
  <c r="Q16" i="2"/>
  <c r="P13" i="2"/>
  <c r="O32" i="2"/>
  <c r="O26" i="2"/>
  <c r="O21" i="2"/>
  <c r="O15" i="2"/>
  <c r="N33" i="2"/>
  <c r="N28" i="2"/>
  <c r="N22" i="2"/>
  <c r="N16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Q30" i="2"/>
  <c r="Q25" i="2"/>
  <c r="Q20" i="2"/>
  <c r="Q15" i="2"/>
  <c r="O36" i="2"/>
  <c r="O31" i="2"/>
  <c r="O25" i="2"/>
  <c r="O19" i="2"/>
  <c r="O13" i="2"/>
  <c r="N32" i="2"/>
  <c r="N26" i="2"/>
  <c r="N20" i="2"/>
  <c r="N14" i="2"/>
  <c r="S37" i="2"/>
  <c r="S36" i="2"/>
  <c r="S35" i="2"/>
  <c r="S34" i="2"/>
  <c r="S33" i="2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Q33" i="2"/>
  <c r="Q29" i="2"/>
  <c r="Q24" i="2"/>
  <c r="Q19" i="2"/>
  <c r="Q14" i="2"/>
  <c r="O35" i="2"/>
  <c r="O29" i="2"/>
  <c r="O23" i="2"/>
  <c r="O17" i="2"/>
  <c r="N36" i="2"/>
  <c r="N30" i="2"/>
  <c r="N24" i="2"/>
  <c r="N18" i="2"/>
  <c r="R37" i="2"/>
  <c r="R36" i="2"/>
  <c r="R35" i="2"/>
  <c r="R34" i="2"/>
  <c r="R33" i="2"/>
  <c r="R32" i="2"/>
  <c r="R31" i="2"/>
  <c r="R30" i="2"/>
  <c r="R29" i="2"/>
  <c r="R28" i="2"/>
  <c r="R27" i="2"/>
  <c r="R26" i="2"/>
  <c r="R25" i="2"/>
  <c r="R24" i="2"/>
  <c r="R23" i="2"/>
  <c r="R22" i="2"/>
  <c r="R21" i="2"/>
  <c r="R20" i="2"/>
  <c r="R19" i="2"/>
  <c r="R18" i="2"/>
  <c r="R17" i="2"/>
  <c r="R16" i="2"/>
  <c r="R15" i="2"/>
  <c r="R14" i="2"/>
  <c r="R13" i="2"/>
  <c r="Q31" i="2"/>
  <c r="Q26" i="2"/>
  <c r="Q22" i="2"/>
  <c r="Q17" i="2"/>
  <c r="P14" i="2"/>
  <c r="O33" i="2"/>
  <c r="O27" i="2"/>
  <c r="O20" i="2"/>
  <c r="O14" i="2"/>
  <c r="N34" i="2"/>
  <c r="N27" i="2"/>
  <c r="N21" i="2"/>
  <c r="N15" i="2"/>
  <c r="Q37" i="2"/>
  <c r="Q36" i="2"/>
  <c r="Q35" i="2"/>
  <c r="Q34" i="2"/>
  <c r="Q32" i="2"/>
  <c r="Q28" i="2"/>
  <c r="Q23" i="2"/>
  <c r="Q18" i="2"/>
  <c r="Q13" i="2"/>
  <c r="O34" i="2"/>
  <c r="O28" i="2"/>
  <c r="O22" i="2"/>
  <c r="O16" i="2"/>
  <c r="N35" i="2"/>
  <c r="N29" i="2"/>
  <c r="N23" i="2"/>
  <c r="N17" i="2"/>
  <c r="P37" i="2"/>
  <c r="P36" i="2"/>
  <c r="P35" i="2"/>
  <c r="P34" i="2"/>
  <c r="P33" i="2"/>
  <c r="P32" i="2"/>
  <c r="P31" i="2"/>
  <c r="P30" i="2"/>
  <c r="P29" i="2"/>
  <c r="P28" i="2"/>
  <c r="P27" i="2"/>
  <c r="P26" i="2"/>
  <c r="P25" i="2"/>
  <c r="P24" i="2"/>
  <c r="P23" i="2"/>
  <c r="P22" i="2"/>
  <c r="P21" i="2"/>
  <c r="P20" i="2"/>
  <c r="P19" i="2"/>
  <c r="P18" i="2"/>
  <c r="P17" i="2"/>
  <c r="P16" i="2"/>
  <c r="P15" i="2"/>
  <c r="O37" i="2"/>
  <c r="O30" i="2"/>
  <c r="O24" i="2"/>
  <c r="O18" i="2"/>
  <c r="N37" i="2"/>
  <c r="N31" i="2"/>
  <c r="N25" i="2"/>
  <c r="N19" i="2"/>
  <c r="N3" i="2"/>
  <c r="U7" i="2"/>
  <c r="U6" i="2"/>
  <c r="U5" i="2"/>
  <c r="U4" i="2"/>
  <c r="U3" i="2"/>
  <c r="T7" i="2"/>
  <c r="T6" i="2"/>
  <c r="T5" i="2"/>
  <c r="T4" i="2"/>
  <c r="T3" i="2"/>
  <c r="S7" i="2"/>
  <c r="S6" i="2"/>
  <c r="S5" i="2"/>
  <c r="S4" i="2"/>
  <c r="S3" i="2"/>
  <c r="R7" i="2"/>
  <c r="R6" i="2"/>
  <c r="R5" i="2"/>
  <c r="R4" i="2"/>
  <c r="R3" i="2"/>
  <c r="Q7" i="2"/>
  <c r="Q6" i="2"/>
  <c r="Q5" i="2"/>
  <c r="Q4" i="2"/>
  <c r="Q3" i="2"/>
  <c r="P7" i="2"/>
  <c r="P6" i="2"/>
  <c r="P5" i="2"/>
  <c r="P4" i="2"/>
  <c r="P3" i="2"/>
  <c r="O7" i="2"/>
  <c r="O6" i="2"/>
  <c r="O5" i="2"/>
  <c r="O4" i="2"/>
  <c r="O3" i="2"/>
  <c r="N7" i="2"/>
  <c r="N6" i="2"/>
  <c r="N5" i="2"/>
  <c r="N4" i="2"/>
  <c r="G5" i="2"/>
  <c r="G4" i="2"/>
  <c r="I3" i="2"/>
  <c r="D6" i="2"/>
  <c r="D3" i="2"/>
  <c r="C6" i="2"/>
  <c r="C7" i="2"/>
  <c r="G6" i="2"/>
  <c r="C4" i="2"/>
  <c r="H4" i="2"/>
  <c r="C3" i="2"/>
  <c r="G7" i="2"/>
  <c r="E3" i="2"/>
  <c r="C5" i="2"/>
  <c r="E7" i="2"/>
  <c r="F6" i="2"/>
  <c r="D7" i="2"/>
  <c r="F5" i="2"/>
  <c r="F3" i="2"/>
  <c r="G3" i="2"/>
  <c r="H3" i="2"/>
  <c r="D5" i="2"/>
  <c r="H7" i="2"/>
  <c r="F7" i="2"/>
  <c r="H5" i="2"/>
  <c r="E4" i="2"/>
  <c r="I6" i="2"/>
  <c r="I5" i="2"/>
  <c r="F4" i="2"/>
  <c r="D4" i="2"/>
  <c r="H6" i="2"/>
  <c r="I4" i="2"/>
  <c r="E6" i="2"/>
  <c r="I7" i="2"/>
  <c r="E5" i="2"/>
  <c r="I34" i="2"/>
  <c r="G20" i="2"/>
  <c r="D31" i="2"/>
  <c r="F19" i="2"/>
  <c r="G35" i="2"/>
  <c r="E21" i="2"/>
  <c r="I24" i="2"/>
  <c r="H24" i="2"/>
  <c r="E35" i="2"/>
  <c r="C21" i="2"/>
  <c r="I14" i="2"/>
  <c r="F25" i="2"/>
  <c r="C36" i="2"/>
  <c r="I37" i="2"/>
  <c r="G23" i="2"/>
  <c r="D34" i="2"/>
  <c r="H29" i="2"/>
  <c r="F15" i="2"/>
  <c r="C26" i="2"/>
  <c r="I19" i="2"/>
  <c r="F30" i="2"/>
  <c r="D16" i="2"/>
  <c r="D30" i="2"/>
  <c r="C27" i="2"/>
  <c r="F32" i="2"/>
  <c r="H28" i="2"/>
  <c r="E36" i="2"/>
  <c r="G22" i="2"/>
  <c r="I26" i="2"/>
  <c r="F37" i="2"/>
  <c r="D23" i="2"/>
  <c r="D21" i="2"/>
  <c r="G27" i="2"/>
  <c r="E13" i="2"/>
  <c r="G18" i="2"/>
  <c r="H16" i="2"/>
  <c r="E27" i="2"/>
  <c r="C13" i="2"/>
  <c r="H31" i="2"/>
  <c r="F17" i="2"/>
  <c r="C28" i="2"/>
  <c r="I29" i="2"/>
  <c r="G15" i="2"/>
  <c r="C35" i="2"/>
  <c r="H21" i="2"/>
  <c r="E32" i="2"/>
  <c r="C18" i="2"/>
  <c r="H36" i="2"/>
  <c r="F22" i="2"/>
  <c r="C33" i="2"/>
  <c r="F29" i="2"/>
  <c r="D37" i="2"/>
  <c r="C20" i="2"/>
  <c r="H13" i="2"/>
  <c r="C17" i="2"/>
  <c r="E18" i="2"/>
  <c r="D33" i="2"/>
  <c r="I18" i="2"/>
  <c r="H35" i="2"/>
  <c r="F21" i="2"/>
  <c r="C32" i="2"/>
  <c r="I25" i="2"/>
  <c r="F36" i="2"/>
  <c r="D22" i="2"/>
  <c r="C14" i="2"/>
  <c r="G25" i="2"/>
  <c r="D36" i="2"/>
  <c r="H17" i="2"/>
  <c r="H15" i="2"/>
  <c r="E26" i="2"/>
  <c r="D26" i="2"/>
  <c r="I13" i="2"/>
  <c r="F24" i="2"/>
  <c r="E28" i="2"/>
  <c r="G30" i="2"/>
  <c r="E16" i="2"/>
  <c r="H33" i="2"/>
  <c r="H20" i="2"/>
  <c r="E31" i="2"/>
  <c r="I16" i="2"/>
  <c r="F13" i="2"/>
  <c r="C24" i="2"/>
  <c r="I17" i="2"/>
  <c r="F28" i="2"/>
  <c r="D14" i="2"/>
  <c r="I31" i="2"/>
  <c r="D28" i="2"/>
  <c r="F16" i="2"/>
  <c r="G37" i="2"/>
  <c r="H27" i="2"/>
  <c r="H19" i="2"/>
  <c r="E30" i="2"/>
  <c r="C16" i="2"/>
  <c r="H34" i="2"/>
  <c r="F20" i="2"/>
  <c r="C31" i="2"/>
  <c r="I23" i="2"/>
  <c r="F34" i="2"/>
  <c r="D20" i="2"/>
  <c r="C30" i="2"/>
  <c r="G24" i="2"/>
  <c r="D35" i="2"/>
  <c r="C19" i="2"/>
  <c r="H22" i="2"/>
  <c r="E33" i="2"/>
  <c r="I28" i="2"/>
  <c r="G14" i="2"/>
  <c r="D25" i="2"/>
  <c r="D29" i="2"/>
  <c r="G29" i="2"/>
  <c r="E15" i="2"/>
  <c r="E20" i="2"/>
  <c r="G19" i="2"/>
  <c r="E19" i="2"/>
  <c r="I21" i="2"/>
  <c r="C25" i="2"/>
  <c r="G17" i="2"/>
  <c r="H30" i="2"/>
  <c r="F35" i="2"/>
  <c r="G36" i="2"/>
  <c r="E22" i="2"/>
  <c r="I32" i="2"/>
  <c r="H26" i="2"/>
  <c r="E37" i="2"/>
  <c r="C23" i="2"/>
  <c r="I15" i="2"/>
  <c r="F26" i="2"/>
  <c r="C37" i="2"/>
  <c r="I30" i="2"/>
  <c r="G16" i="2"/>
  <c r="D27" i="2"/>
  <c r="F27" i="2"/>
  <c r="H14" i="2"/>
  <c r="E25" i="2"/>
  <c r="I20" i="2"/>
  <c r="F31" i="2"/>
  <c r="D17" i="2"/>
  <c r="I35" i="2"/>
  <c r="G21" i="2"/>
  <c r="D32" i="2"/>
  <c r="C22" i="2"/>
  <c r="I33" i="2"/>
  <c r="H23" i="2"/>
  <c r="E24" i="2"/>
  <c r="D18" i="2"/>
  <c r="E23" i="2"/>
  <c r="G28" i="2"/>
  <c r="E14" i="2"/>
  <c r="H25" i="2"/>
  <c r="H18" i="2"/>
  <c r="E29" i="2"/>
  <c r="C15" i="2"/>
  <c r="H32" i="2"/>
  <c r="F18" i="2"/>
  <c r="C29" i="2"/>
  <c r="I22" i="2"/>
  <c r="F33" i="2"/>
  <c r="D19" i="2"/>
  <c r="D13" i="2"/>
  <c r="G31" i="2"/>
  <c r="E17" i="2"/>
  <c r="H37" i="2"/>
  <c r="F23" i="2"/>
  <c r="C34" i="2"/>
  <c r="I27" i="2"/>
  <c r="G13" i="2"/>
  <c r="D24" i="2"/>
  <c r="D15" i="2"/>
  <c r="G33" i="2"/>
  <c r="E34" i="2"/>
  <c r="G34" i="2"/>
  <c r="F14" i="2"/>
  <c r="G32" i="2"/>
  <c r="I36" i="2"/>
  <c r="G26" i="2"/>
  <c r="Q8" i="12" l="1"/>
  <c r="J26" i="12"/>
  <c r="N38" i="12"/>
  <c r="T8" i="12"/>
  <c r="S38" i="12"/>
  <c r="O38" i="12"/>
  <c r="T38" i="12"/>
  <c r="N8" i="12"/>
  <c r="P8" i="12"/>
  <c r="R38" i="12"/>
  <c r="Q38" i="12"/>
  <c r="P38" i="12"/>
  <c r="O8" i="12"/>
  <c r="S8" i="12"/>
  <c r="R8" i="12"/>
  <c r="J14" i="12"/>
  <c r="K14" i="12" s="1"/>
  <c r="J20" i="12"/>
  <c r="K20" i="12" s="1"/>
  <c r="G38" i="12"/>
  <c r="J4" i="12"/>
  <c r="J23" i="12"/>
  <c r="K23" i="12" s="1"/>
  <c r="C8" i="12"/>
  <c r="Q38" i="2"/>
  <c r="N38" i="2"/>
  <c r="J17" i="12"/>
  <c r="R38" i="2"/>
  <c r="T38" i="2"/>
  <c r="O38" i="2"/>
  <c r="P38" i="2"/>
  <c r="S38" i="2"/>
  <c r="O8" i="2"/>
  <c r="R8" i="2"/>
  <c r="T8" i="2"/>
  <c r="Q8" i="2"/>
  <c r="J13" i="12"/>
  <c r="K13" i="12" s="1"/>
  <c r="S8" i="2"/>
  <c r="H8" i="12"/>
  <c r="D8" i="12"/>
  <c r="N8" i="2"/>
  <c r="P8" i="2"/>
  <c r="E38" i="12"/>
  <c r="J6" i="12"/>
  <c r="K6" i="12" s="1"/>
  <c r="J5" i="12"/>
  <c r="K5" i="12" s="1"/>
  <c r="F8" i="12"/>
  <c r="J7" i="12"/>
  <c r="K7" i="12" s="1"/>
  <c r="I38" i="12"/>
  <c r="F38" i="12"/>
  <c r="G8" i="12"/>
  <c r="J3" i="12"/>
  <c r="K3" i="12" s="1"/>
  <c r="C38" i="12"/>
  <c r="I8" i="12"/>
  <c r="E8" i="12"/>
  <c r="H38" i="12"/>
  <c r="D38" i="12"/>
  <c r="K32" i="12"/>
  <c r="V7" i="12"/>
  <c r="V21" i="12"/>
  <c r="O39" i="12"/>
  <c r="S9" i="12"/>
  <c r="V22" i="12"/>
  <c r="N39" i="12"/>
  <c r="V13" i="12"/>
  <c r="V30" i="12"/>
  <c r="V31" i="12"/>
  <c r="V25" i="12"/>
  <c r="V18" i="12"/>
  <c r="S39" i="12"/>
  <c r="F39" i="12"/>
  <c r="R9" i="12"/>
  <c r="H9" i="12"/>
  <c r="V32" i="12"/>
  <c r="T39" i="12"/>
  <c r="V34" i="12"/>
  <c r="V37" i="12"/>
  <c r="P39" i="12"/>
  <c r="E39" i="12"/>
  <c r="G9" i="12"/>
  <c r="C9" i="12"/>
  <c r="V33" i="12"/>
  <c r="V19" i="12"/>
  <c r="K18" i="12"/>
  <c r="I39" i="12"/>
  <c r="K22" i="12"/>
  <c r="K19" i="12"/>
  <c r="V3" i="12"/>
  <c r="N9" i="12"/>
  <c r="U9" i="12"/>
  <c r="R39" i="12"/>
  <c r="K16" i="12"/>
  <c r="K37" i="12"/>
  <c r="V26" i="12"/>
  <c r="V17" i="12"/>
  <c r="V35" i="12"/>
  <c r="V29" i="12"/>
  <c r="K31" i="12"/>
  <c r="U39" i="12"/>
  <c r="Q39" i="12"/>
  <c r="K24" i="12"/>
  <c r="V6" i="12"/>
  <c r="V4" i="12"/>
  <c r="D9" i="12"/>
  <c r="I9" i="12"/>
  <c r="V27" i="12"/>
  <c r="D39" i="12"/>
  <c r="H39" i="12"/>
  <c r="K26" i="12"/>
  <c r="V36" i="12"/>
  <c r="K21" i="12"/>
  <c r="V20" i="12"/>
  <c r="V23" i="12"/>
  <c r="K30" i="12"/>
  <c r="K27" i="12"/>
  <c r="P9" i="12"/>
  <c r="F9" i="12"/>
  <c r="O9" i="12"/>
  <c r="V28" i="12"/>
  <c r="K15" i="12"/>
  <c r="V15" i="12"/>
  <c r="G39" i="12"/>
  <c r="V24" i="12"/>
  <c r="K29" i="12"/>
  <c r="K34" i="12"/>
  <c r="V5" i="12"/>
  <c r="V14" i="12"/>
  <c r="Q9" i="12"/>
  <c r="C39" i="12"/>
  <c r="V16" i="12"/>
  <c r="K25" i="12"/>
  <c r="K28" i="12"/>
  <c r="K36" i="12"/>
  <c r="K33" i="12"/>
  <c r="K35" i="12"/>
  <c r="T9" i="12"/>
  <c r="E9" i="12"/>
  <c r="V28" i="2"/>
  <c r="V36" i="2"/>
  <c r="V22" i="2"/>
  <c r="V19" i="2"/>
  <c r="V27" i="2"/>
  <c r="N9" i="2"/>
  <c r="V20" i="2"/>
  <c r="O9" i="2"/>
  <c r="V6" i="2"/>
  <c r="V25" i="2"/>
  <c r="V33" i="2"/>
  <c r="V32" i="2"/>
  <c r="R39" i="2"/>
  <c r="P39" i="2"/>
  <c r="V14" i="2"/>
  <c r="V30" i="2"/>
  <c r="T9" i="2"/>
  <c r="S39" i="2"/>
  <c r="V7" i="2"/>
  <c r="V16" i="2"/>
  <c r="V35" i="2"/>
  <c r="V21" i="2"/>
  <c r="O39" i="2"/>
  <c r="Q39" i="2"/>
  <c r="V26" i="2"/>
  <c r="V29" i="2"/>
  <c r="V4" i="2"/>
  <c r="V5" i="2"/>
  <c r="V18" i="2"/>
  <c r="V24" i="2"/>
  <c r="V34" i="2"/>
  <c r="T39" i="2"/>
  <c r="V23" i="2"/>
  <c r="P9" i="2"/>
  <c r="Q9" i="2"/>
  <c r="R9" i="2"/>
  <c r="S9" i="2"/>
  <c r="N39" i="2"/>
  <c r="V13" i="2"/>
  <c r="V15" i="2"/>
  <c r="V37" i="2"/>
  <c r="V17" i="2"/>
  <c r="V31" i="2"/>
  <c r="J5" i="2"/>
  <c r="K5" i="2" s="1"/>
  <c r="J4" i="2"/>
  <c r="K4" i="2" s="1"/>
  <c r="J7" i="2"/>
  <c r="K7" i="2" s="1"/>
  <c r="J17" i="2"/>
  <c r="K17" i="2" s="1"/>
  <c r="J27" i="2"/>
  <c r="K27" i="2" s="1"/>
  <c r="J28" i="2"/>
  <c r="K28" i="2" s="1"/>
  <c r="J37" i="2"/>
  <c r="K37" i="2" s="1"/>
  <c r="J36" i="2"/>
  <c r="K36" i="2" s="1"/>
  <c r="J22" i="2"/>
  <c r="K22" i="2" s="1"/>
  <c r="J18" i="2"/>
  <c r="K18" i="2" s="1"/>
  <c r="J15" i="2"/>
  <c r="K15" i="2" s="1"/>
  <c r="J20" i="2"/>
  <c r="K20" i="2" s="1"/>
  <c r="J26" i="2"/>
  <c r="K26" i="2" s="1"/>
  <c r="J35" i="2"/>
  <c r="K35" i="2" s="1"/>
  <c r="J32" i="2"/>
  <c r="K32" i="2" s="1"/>
  <c r="J29" i="2"/>
  <c r="K29" i="2" s="1"/>
  <c r="J24" i="2"/>
  <c r="K24" i="2" s="1"/>
  <c r="J16" i="2"/>
  <c r="K16" i="2" s="1"/>
  <c r="J13" i="2"/>
  <c r="K13" i="2" s="1"/>
  <c r="H39" i="2"/>
  <c r="H38" i="2"/>
  <c r="J6" i="2"/>
  <c r="K6" i="2" s="1"/>
  <c r="J19" i="2"/>
  <c r="K19" i="2" s="1"/>
  <c r="J25" i="2"/>
  <c r="K25" i="2" s="1"/>
  <c r="J30" i="2"/>
  <c r="K30" i="2" s="1"/>
  <c r="C39" i="2"/>
  <c r="C38" i="2"/>
  <c r="H9" i="2"/>
  <c r="H8" i="2"/>
  <c r="E8" i="2"/>
  <c r="E9" i="2"/>
  <c r="D9" i="2"/>
  <c r="D8" i="2"/>
  <c r="J21" i="2"/>
  <c r="K21" i="2" s="1"/>
  <c r="J14" i="2"/>
  <c r="K14" i="2" s="1"/>
  <c r="G9" i="2"/>
  <c r="G8" i="2"/>
  <c r="J34" i="2"/>
  <c r="K34" i="2" s="1"/>
  <c r="F8" i="2"/>
  <c r="F9" i="2"/>
  <c r="J3" i="2"/>
  <c r="C9" i="2"/>
  <c r="C8" i="2"/>
  <c r="I8" i="2"/>
  <c r="I9" i="2"/>
  <c r="J33" i="2"/>
  <c r="K33" i="2" s="1"/>
  <c r="J23" i="2"/>
  <c r="K23" i="2" s="1"/>
  <c r="F39" i="2"/>
  <c r="F38" i="2"/>
  <c r="G39" i="2"/>
  <c r="G38" i="2"/>
  <c r="I39" i="2"/>
  <c r="I38" i="2"/>
  <c r="D39" i="2"/>
  <c r="D38" i="2"/>
  <c r="J31" i="2"/>
  <c r="K31" i="2" s="1"/>
  <c r="E38" i="2"/>
  <c r="E39" i="2"/>
  <c r="J39" i="12" l="1"/>
  <c r="K39" i="12" s="1"/>
  <c r="J9" i="12"/>
  <c r="K9" i="12" s="1"/>
  <c r="V9" i="12"/>
  <c r="K17" i="12"/>
  <c r="K8" i="12"/>
  <c r="K4" i="12"/>
  <c r="K38" i="12"/>
  <c r="V38" i="12"/>
  <c r="V8" i="12"/>
  <c r="V39" i="12"/>
  <c r="U39" i="2"/>
  <c r="V39" i="2" s="1"/>
  <c r="U9" i="2"/>
  <c r="V9" i="2" s="1"/>
  <c r="V8" i="2"/>
  <c r="V3" i="2"/>
  <c r="V38" i="2"/>
  <c r="J9" i="2"/>
  <c r="K9" i="2" s="1"/>
  <c r="K38" i="2"/>
  <c r="J39" i="2"/>
  <c r="K39" i="2" s="1"/>
  <c r="K8" i="2"/>
  <c r="K3" i="2"/>
</calcChain>
</file>

<file path=xl/sharedStrings.xml><?xml version="1.0" encoding="utf-8"?>
<sst xmlns="http://schemas.openxmlformats.org/spreadsheetml/2006/main" count="692" uniqueCount="228">
  <si>
    <t>BBR!</t>
  </si>
  <si>
    <t>BygniongsID</t>
  </si>
  <si>
    <t>Anv. klasse</t>
  </si>
  <si>
    <t>Opvarmet_areal</t>
  </si>
  <si>
    <t>Bygningsår</t>
  </si>
  <si>
    <t>Opvarmningsform</t>
  </si>
  <si>
    <t>X</t>
  </si>
  <si>
    <t>Y</t>
  </si>
  <si>
    <t>Område</t>
  </si>
  <si>
    <t>Bygningsanvendelse</t>
  </si>
  <si>
    <t>Anv. kode</t>
  </si>
  <si>
    <t>Før 1890</t>
  </si>
  <si>
    <t>1890-1930</t>
  </si>
  <si>
    <t>1931-1950</t>
  </si>
  <si>
    <t>1951-1960</t>
  </si>
  <si>
    <t>1961-1972</t>
  </si>
  <si>
    <t>1973-1978</t>
  </si>
  <si>
    <t>1979-1998</t>
  </si>
  <si>
    <t>1999-2006</t>
  </si>
  <si>
    <t>Efter 2006</t>
  </si>
  <si>
    <t>Stuehus</t>
  </si>
  <si>
    <t>Parcelhus</t>
  </si>
  <si>
    <t>Række/kædehus</t>
  </si>
  <si>
    <t>Etagebolig</t>
  </si>
  <si>
    <t>Kollegium</t>
  </si>
  <si>
    <t>Døgninstitution</t>
  </si>
  <si>
    <t>And. helårsbolig</t>
  </si>
  <si>
    <t>Kontor/handel</t>
  </si>
  <si>
    <t>Hotel og service</t>
  </si>
  <si>
    <t>And. hand/serv.</t>
  </si>
  <si>
    <t>Kulturbygning</t>
  </si>
  <si>
    <t>Undervisning</t>
  </si>
  <si>
    <t>Sygehus</t>
  </si>
  <si>
    <t>Daginstitution</t>
  </si>
  <si>
    <t>And. institution</t>
  </si>
  <si>
    <t>Sommerhus</t>
  </si>
  <si>
    <t>Feriebygning</t>
  </si>
  <si>
    <t>Sportsanlæg</t>
  </si>
  <si>
    <t>Kolonihavehuse</t>
  </si>
  <si>
    <t>And. fritidsbygn.</t>
  </si>
  <si>
    <t>Anneks</t>
  </si>
  <si>
    <t>Avls- og driftsbygning</t>
  </si>
  <si>
    <t>Fabrikker, værksteder o.l.</t>
  </si>
  <si>
    <t>El-, gas-, vand- og varmeværker</t>
  </si>
  <si>
    <t>Anden bygning til produktion</t>
  </si>
  <si>
    <t>Transport- eller garageanlæg</t>
  </si>
  <si>
    <t>Elektricitet</t>
  </si>
  <si>
    <t>Gasværksgas</t>
  </si>
  <si>
    <t>Flydende brændsel (olie, petroleum, flaskegas m.m.)</t>
  </si>
  <si>
    <t>Fast brændsel (kul, koks, brænde m.m.)</t>
  </si>
  <si>
    <t>Halm</t>
  </si>
  <si>
    <t>Naturgas</t>
  </si>
  <si>
    <t>Anden opvarmning end el, gas, flydende/fast brændsel og halm</t>
  </si>
  <si>
    <t>** Ingen oplysninger</t>
  </si>
  <si>
    <t>Bygningstype</t>
  </si>
  <si>
    <t>Kategori</t>
  </si>
  <si>
    <t>Sektor</t>
  </si>
  <si>
    <t>Stuehuse til landbrugsejendom</t>
  </si>
  <si>
    <t>Private husholdninger</t>
  </si>
  <si>
    <t>Fritliggende enfamilieshus (parcelhus)</t>
  </si>
  <si>
    <t>Parcelhuse</t>
  </si>
  <si>
    <t>Række-, kæde-, dobbelthus (lodret adskillelse mellem enhederne)</t>
  </si>
  <si>
    <t>Række-, kæde og dobbelthuse</t>
  </si>
  <si>
    <t>Række- og kædehus (lodret adskillelse mellem enhederne)</t>
  </si>
  <si>
    <t>Dobbelthus (to boliger med lodret adskillelse mellem enhederne)</t>
  </si>
  <si>
    <t>Etageboligbebyggelse</t>
  </si>
  <si>
    <t>Kollegier</t>
  </si>
  <si>
    <t>Døgninstitutioner</t>
  </si>
  <si>
    <t>Kommunale og andre offentlige institutioner</t>
  </si>
  <si>
    <t>Anneks i tilknytning til helårsbolig</t>
  </si>
  <si>
    <t>Anden helårsbeboelse</t>
  </si>
  <si>
    <t>Bygning til erhvervsmæssig produktion vedrørende landbrug, gartneri, råstofudvinding o.lign</t>
  </si>
  <si>
    <t>Landbrug og gartneri</t>
  </si>
  <si>
    <t>Svinestald</t>
  </si>
  <si>
    <t>Kvægstald</t>
  </si>
  <si>
    <t>Fjerkræsstald</t>
  </si>
  <si>
    <t>Minkhal</t>
  </si>
  <si>
    <t>Væksthus</t>
  </si>
  <si>
    <t>Foder-/ ladebygning (Bygning med ydervægge)</t>
  </si>
  <si>
    <t>Maskinhus, løsdriftstald, garage o.a.</t>
  </si>
  <si>
    <t>Halmlade/staklade (Bygning uden ydervægge)</t>
  </si>
  <si>
    <t>Anden bygning til landbrug, skovbrug, fiskeri eller råstofindvinding</t>
  </si>
  <si>
    <t>Bygning til erhvervsmæssig produktion vedrørende industri, håndværk m.v. (fabrik, værksted o.lign.)</t>
  </si>
  <si>
    <t>Industri</t>
  </si>
  <si>
    <t>Bygning til erhvervsmæssig industriproduktionherunder fødevareproduktion, hvor produktionsapparatet er en integreret del af bygningen</t>
  </si>
  <si>
    <t>Værksted</t>
  </si>
  <si>
    <t>Anden bygning til erhvervsmæssig produktion vedrørende industri, håndværk o. lign.</t>
  </si>
  <si>
    <t>El-, gas-, vand- eller varmeværk forbrændingsanstalt m.v..</t>
  </si>
  <si>
    <t>Bygning til energiproduktion (herunder energiproduktion vedr. affaldsforbrænding o. lign. )</t>
  </si>
  <si>
    <t>Bygning til forsyning- og energidistribution</t>
  </si>
  <si>
    <t>Bygning til vandforsyning</t>
  </si>
  <si>
    <t>Bygninger til affaldshåndtering, rensningsanlæg o. lign</t>
  </si>
  <si>
    <t>Anden bygning til forsyning- og energidistribution mv.</t>
  </si>
  <si>
    <t>Anden bygning til landbrug, industri etc</t>
  </si>
  <si>
    <t>Transport- og garageanlæg (fragtmandshal, lufthavnsbygning, banegårdsbygning, parkeringshus).</t>
  </si>
  <si>
    <t>Handel og servicevirksomheder</t>
  </si>
  <si>
    <t>Bygning til jernbane- og busdrift</t>
  </si>
  <si>
    <t>Bygning til luftfart</t>
  </si>
  <si>
    <t>Bygning til parkering- og transportanlæg i forbindelse med erhverv, med plads til mere end to køretøjer</t>
  </si>
  <si>
    <t>Bygning til parkering- og transportanlæg i tilknytning til boliger, med plads til mere end to køretøjer</t>
  </si>
  <si>
    <t>Havneanlæg</t>
  </si>
  <si>
    <t>Andet transport anlæg</t>
  </si>
  <si>
    <t>Bygning til kontor, handel, lager herunder offentlig administration</t>
  </si>
  <si>
    <t>Kontor, handel, lager, off. adm.</t>
  </si>
  <si>
    <t>Bygning til kontor</t>
  </si>
  <si>
    <t>Bygning til handel og butik</t>
  </si>
  <si>
    <t>Bygning til lager</t>
  </si>
  <si>
    <t>Butikscenter og storcenter</t>
  </si>
  <si>
    <t>Tankstation</t>
  </si>
  <si>
    <t>Anden bygning til kontor, handel og lager</t>
  </si>
  <si>
    <t>Bygning til hotel, restaurant, vaskeri, frisør og anden servicevirksomhed</t>
  </si>
  <si>
    <t>Hotel, restauration, frisør o</t>
  </si>
  <si>
    <t>Hotel, kro eller konferencecenter med overnatningsmulighed</t>
  </si>
  <si>
    <t>Bed &amp; breakfast o.lign</t>
  </si>
  <si>
    <t>Restaurant, café, kasino o. lign</t>
  </si>
  <si>
    <t>Privat servicevirksomhed som frisør, vaskeri, netcafé o. lign.</t>
  </si>
  <si>
    <t>Anden byning til serviceerhverv</t>
  </si>
  <si>
    <t>Anden bygning til handel transport, handel etc</t>
  </si>
  <si>
    <t>Uspec. transport og handel</t>
  </si>
  <si>
    <t>Bygning til biograf, teater, erhvervsmæssig udstilling, bibliotek, museum, kirke o.lign.</t>
  </si>
  <si>
    <t>Bibliotek, kirke, museum o.l.</t>
  </si>
  <si>
    <t>Biograf, teater o.lign</t>
  </si>
  <si>
    <t>Museum</t>
  </si>
  <si>
    <t>Bibliotek</t>
  </si>
  <si>
    <t>Kirke eller anden bygning til trosudøvelse for statsanerkendte trossamfund</t>
  </si>
  <si>
    <t>Forsamlingshus</t>
  </si>
  <si>
    <t>Konferencecenter uden overnatningsmuligheder</t>
  </si>
  <si>
    <t>Anden bygning til kulturelle og religiøse formål</t>
  </si>
  <si>
    <t>Bygning til undervisning og forskning (skole, gymnasium, forskningslabratorium o.lign.)</t>
  </si>
  <si>
    <t>Undervisning, forskning o.l.</t>
  </si>
  <si>
    <t>Grundskole (folkeskole, privatskole o. lign.)</t>
  </si>
  <si>
    <t>Universitet</t>
  </si>
  <si>
    <t>Anden bygning til undervisning</t>
  </si>
  <si>
    <t>Bygning til hospital, sygehjem, fødeklinik o.lign.</t>
  </si>
  <si>
    <t>Hospital, sygehus o.l.</t>
  </si>
  <si>
    <t>Hospital og sygehus</t>
  </si>
  <si>
    <t>Hospice, behandlingshjem o.lign</t>
  </si>
  <si>
    <t>Sundhedscenter, lægehus, fødeklinik o. lign.</t>
  </si>
  <si>
    <t>Anden bygning til sundhedsformål</t>
  </si>
  <si>
    <t>Daginstitutioner</t>
  </si>
  <si>
    <t>Servicefunktion på døgninstitution</t>
  </si>
  <si>
    <t>Kaserne</t>
  </si>
  <si>
    <t>Fængsel, arresthus o. lign.</t>
  </si>
  <si>
    <t>Anden bygning til institutionsformål</t>
  </si>
  <si>
    <t>Uspecificeret institution</t>
  </si>
  <si>
    <t>Sommerhuse</t>
  </si>
  <si>
    <t>Bygning til ferieformål m.v., bortset fra sommerhus (feriekoloni, vandrehjem o.lign.)</t>
  </si>
  <si>
    <t>Feriecenter, campingcenter o. lign</t>
  </si>
  <si>
    <t>Ferielejlighed og fritidsbolig</t>
  </si>
  <si>
    <t>Anden bygning til ferieformål</t>
  </si>
  <si>
    <t>Bygning i forbindelse med idrætsudøvelse (klubhus, idrætshal, svømmehal o.lign.).</t>
  </si>
  <si>
    <t>Klubhus i forbindelse med fritids- og idrætsudøvelse</t>
  </si>
  <si>
    <t>Svømmehal</t>
  </si>
  <si>
    <t>Idrætshal</t>
  </si>
  <si>
    <t>Tribune i forbindelse med stadion</t>
  </si>
  <si>
    <t>Rideskole inklusiv ridehal, ridestald o. lign</t>
  </si>
  <si>
    <t>Anden bygninger til idrætsudøvelse o.lign.</t>
  </si>
  <si>
    <t>Kolonihavehus</t>
  </si>
  <si>
    <t>Anneks i tilknytning til fritids- og sommerhus</t>
  </si>
  <si>
    <t>Uspecificeret fritidsformål</t>
  </si>
  <si>
    <t>Anden bygning til fritidsformål</t>
  </si>
  <si>
    <t>Fjernvarme/blokvarme (radiatorsystemer eller varmluftanlæg)</t>
  </si>
  <si>
    <t>Centralvarme fra eget anlæg, et-kammer fyr</t>
  </si>
  <si>
    <t>Ovne (kakkelovne, kamin, brændeovn og lignende)</t>
  </si>
  <si>
    <t>Varmepumpe</t>
  </si>
  <si>
    <t>Centralvarme med to fyringsenheder(fast/flydende brændsel samt gas)</t>
  </si>
  <si>
    <t>Elovne, elpaneler</t>
  </si>
  <si>
    <t>Gasradiatorer</t>
  </si>
  <si>
    <t>Ingen varmeinstallationer</t>
  </si>
  <si>
    <t>Fjernvarme/ Blokvarme</t>
  </si>
  <si>
    <t>Olie</t>
  </si>
  <si>
    <t>Biomasse</t>
  </si>
  <si>
    <t>Elvarme</t>
  </si>
  <si>
    <t>Ingen varmeinstallation</t>
  </si>
  <si>
    <t>Andet</t>
  </si>
  <si>
    <t>Sum</t>
  </si>
  <si>
    <t>Husnummer</t>
  </si>
  <si>
    <t>Enhedsvarmebehov SBi kWh/m²</t>
  </si>
  <si>
    <t>Varmebehov Sbi MWh/år</t>
  </si>
  <si>
    <t>Enhedsvarmebehov VpD kWh/m²</t>
  </si>
  <si>
    <t>Varmebehov VpD MWh/år</t>
  </si>
  <si>
    <t xml:space="preserve">Stuehuse til landbrugsejendom </t>
  </si>
  <si>
    <t xml:space="preserve">Parcelhuse </t>
  </si>
  <si>
    <t xml:space="preserve">Række-, kæde- og dobbelthuse </t>
  </si>
  <si>
    <t xml:space="preserve">Kollegier </t>
  </si>
  <si>
    <t xml:space="preserve">Døgninstitutioner </t>
  </si>
  <si>
    <t xml:space="preserve">Anden helårsbeboelse </t>
  </si>
  <si>
    <t xml:space="preserve">Avls- og driftsbygning </t>
  </si>
  <si>
    <t xml:space="preserve">Fabrikker, værksteder o.l. </t>
  </si>
  <si>
    <t xml:space="preserve">El-, gas-, vand- og varmeværker </t>
  </si>
  <si>
    <t xml:space="preserve">Anden bygning til produktion </t>
  </si>
  <si>
    <t xml:space="preserve">Transport- eller garageanlæg </t>
  </si>
  <si>
    <t xml:space="preserve">Kontor, handel, lager, off. adm. </t>
  </si>
  <si>
    <t xml:space="preserve">Hotel, restauration, frisør o </t>
  </si>
  <si>
    <t xml:space="preserve">Uspec. transport og handel </t>
  </si>
  <si>
    <t xml:space="preserve">Bibliotek, kirke, museum o.l. </t>
  </si>
  <si>
    <t xml:space="preserve">Undervisning, forskning o.l. </t>
  </si>
  <si>
    <t xml:space="preserve">Hospital, sygehus o.l. </t>
  </si>
  <si>
    <t xml:space="preserve">Daginstitutioner </t>
  </si>
  <si>
    <t xml:space="preserve">Uspecificeret institution </t>
  </si>
  <si>
    <t xml:space="preserve">Sommerhuse </t>
  </si>
  <si>
    <t xml:space="preserve">Uspecificeret ferieformål </t>
  </si>
  <si>
    <t xml:space="preserve">Idrætshaller, klubhuse </t>
  </si>
  <si>
    <t xml:space="preserve">Kolonihavehuse </t>
  </si>
  <si>
    <t>&lt;1930</t>
  </si>
  <si>
    <t>&gt;1998</t>
  </si>
  <si>
    <t>SBi</t>
  </si>
  <si>
    <t>VpD</t>
  </si>
  <si>
    <t xml:space="preserve">Etageboligbebyggelse </t>
  </si>
  <si>
    <t>Blandet (Kræver specifikation på enhedsniveau)</t>
  </si>
  <si>
    <t>Tabel 11. Beregnede nuværende enhedsforbrug i de analyserede bygningstyper og byggeperioder jf.
registreringer af konstruktionernes nuværende termiske egenskaber i forbindelse med energimærkning.</t>
  </si>
  <si>
    <t>https://sbi.dk/Assets/Potentielle-varmebesparelser-ved-loebende-bygningsrenovering-frem-til-2050/sbi-2014-01-potentielle-varmebesparelser-ved-lobende-bygningsrenovering-frem-til-2050.pdf</t>
  </si>
  <si>
    <t>Hele kommunen</t>
  </si>
  <si>
    <t>Jordstykke</t>
  </si>
  <si>
    <t>Varmeinstallation</t>
  </si>
  <si>
    <t>Opvarmnignsmiddel</t>
  </si>
  <si>
    <t>SupplerendeVarme</t>
  </si>
  <si>
    <t>Adressepunkt</t>
  </si>
  <si>
    <t xml:space="preserve"> Garage (med plads til et eller to køretøjer)</t>
  </si>
  <si>
    <t xml:space="preserve"> Carport</t>
  </si>
  <si>
    <t xml:space="preserve"> Udhus</t>
  </si>
  <si>
    <t xml:space="preserve"> Drivhus</t>
  </si>
  <si>
    <t xml:space="preserve"> Fritliggende overdækning</t>
  </si>
  <si>
    <t xml:space="preserve"> Fritliggende udestue</t>
  </si>
  <si>
    <t xml:space="preserve"> Tiloversbleven landbrugsbygning</t>
  </si>
  <si>
    <t xml:space="preserve"> Faldefærdig bygning</t>
  </si>
  <si>
    <t xml:space="preserve"> Ukendt bygning</t>
  </si>
  <si>
    <t>Ikke opvarmet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</si>
</sst>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 ;_ * \-#,##0.00_ ;_ * &quot;-&quot;??_ ;_ @_ "/>
    <numFmt numFmtId="164" formatCode="_ * #,##0_ ;_ * \-#,##0_ ;_ 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43" fontId="1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2"/>
    <xf numFmtId="0" fontId="0" fillId="0" borderId="0" xfId="0" applyAlignment="1">
      <alignment wrapText="1"/>
    </xf>
    <xf numFmtId="0" fontId="1" fillId="0" borderId="0" xfId="1" applyAlignment="1">
      <alignment wrapText="1"/>
    </xf>
    <xf numFmtId="0" fontId="0" fillId="0" borderId="0" xfId="1" applyFont="1" applyAlignment="1">
      <alignment wrapText="1"/>
    </xf>
    <xf numFmtId="43" fontId="1" fillId="0" borderId="0" xfId="3"/>
    <xf numFmtId="0" fontId="2" fillId="0" borderId="0" xfId="0" applyFont="1"/>
    <xf numFmtId="0" fontId="0" fillId="2" borderId="1" xfId="0" applyFill="1" applyBorder="1"/>
    <xf numFmtId="0" fontId="0" fillId="2" borderId="2" xfId="0" applyFill="1" applyBorder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64" fontId="0" fillId="2" borderId="5" xfId="4" applyNumberFormat="1" applyFont="1" applyFill="1" applyBorder="1"/>
    <xf numFmtId="164" fontId="0" fillId="2" borderId="6" xfId="4" applyNumberFormat="1" applyFont="1" applyFill="1" applyBorder="1"/>
    <xf numFmtId="164" fontId="2" fillId="2" borderId="7" xfId="0" applyNumberFormat="1" applyFont="1" applyFill="1" applyBorder="1"/>
    <xf numFmtId="164" fontId="0" fillId="2" borderId="8" xfId="0" applyNumberFormat="1" applyFill="1" applyBorder="1"/>
    <xf numFmtId="164" fontId="0" fillId="2" borderId="9" xfId="4" applyNumberFormat="1" applyFont="1" applyFill="1" applyBorder="1"/>
    <xf numFmtId="164" fontId="0" fillId="2" borderId="0" xfId="4" applyNumberFormat="1" applyFont="1" applyFill="1" applyBorder="1"/>
    <xf numFmtId="164" fontId="2" fillId="2" borderId="10" xfId="0" applyNumberFormat="1" applyFont="1" applyFill="1" applyBorder="1"/>
    <xf numFmtId="164" fontId="0" fillId="2" borderId="11" xfId="4" applyNumberFormat="1" applyFont="1" applyFill="1" applyBorder="1"/>
    <xf numFmtId="164" fontId="0" fillId="2" borderId="12" xfId="4" applyNumberFormat="1" applyFont="1" applyFill="1" applyBorder="1"/>
    <xf numFmtId="164" fontId="2" fillId="2" borderId="13" xfId="0" applyNumberFormat="1" applyFont="1" applyFill="1" applyBorder="1"/>
    <xf numFmtId="0" fontId="0" fillId="2" borderId="14" xfId="0" applyFill="1" applyBorder="1"/>
    <xf numFmtId="164" fontId="2" fillId="2" borderId="12" xfId="0" applyNumberFormat="1" applyFont="1" applyFill="1" applyBorder="1"/>
    <xf numFmtId="164" fontId="0" fillId="2" borderId="15" xfId="0" applyNumberFormat="1" applyFill="1" applyBorder="1"/>
    <xf numFmtId="0" fontId="0" fillId="2" borderId="16" xfId="0" applyFill="1" applyBorder="1"/>
    <xf numFmtId="164" fontId="0" fillId="2" borderId="17" xfId="4" applyNumberFormat="1" applyFont="1" applyFill="1" applyBorder="1"/>
    <xf numFmtId="164" fontId="2" fillId="2" borderId="17" xfId="4" applyNumberFormat="1" applyFont="1" applyFill="1" applyBorder="1"/>
    <xf numFmtId="164" fontId="0" fillId="2" borderId="18" xfId="0" applyNumberFormat="1" applyFill="1" applyBorder="1"/>
    <xf numFmtId="164" fontId="0" fillId="0" borderId="0" xfId="4" applyNumberFormat="1" applyFont="1"/>
    <xf numFmtId="164" fontId="0" fillId="2" borderId="19" xfId="4" applyNumberFormat="1" applyFont="1" applyFill="1" applyBorder="1"/>
    <xf numFmtId="164" fontId="0" fillId="2" borderId="20" xfId="4" applyNumberFormat="1" applyFont="1" applyFill="1" applyBorder="1"/>
    <xf numFmtId="164" fontId="2" fillId="2" borderId="20" xfId="4" applyNumberFormat="1" applyFont="1" applyFill="1" applyBorder="1"/>
    <xf numFmtId="164" fontId="0" fillId="2" borderId="3" xfId="4" applyNumberFormat="1" applyFont="1" applyFill="1" applyBorder="1"/>
    <xf numFmtId="0" fontId="0" fillId="2" borderId="21" xfId="0" applyFill="1" applyBorder="1"/>
    <xf numFmtId="164" fontId="0" fillId="2" borderId="22" xfId="0" applyNumberFormat="1" applyFill="1" applyBorder="1"/>
    <xf numFmtId="164" fontId="0" fillId="2" borderId="23" xfId="4" applyNumberFormat="1" applyFont="1" applyFill="1" applyBorder="1"/>
    <xf numFmtId="164" fontId="2" fillId="2" borderId="23" xfId="0" applyNumberFormat="1" applyFont="1" applyFill="1" applyBorder="1"/>
    <xf numFmtId="0" fontId="0" fillId="0" borderId="0" xfId="0" applyAlignment="1"/>
    <xf numFmtId="0" fontId="3" fillId="0" borderId="0" xfId="5"/>
    <xf numFmtId="0" fontId="0" fillId="4" borderId="0" xfId="0" applyFill="1"/>
    <xf numFmtId="0" fontId="0" fillId="3" borderId="24" xfId="0" applyFill="1" applyBorder="1"/>
    <xf numFmtId="0" fontId="4" fillId="0" borderId="0" xfId="0" applyFont="1"/>
  </cellXfs>
  <cellStyles count="6">
    <cellStyle name="Comma" xfId="4" builtinId="3"/>
    <cellStyle name="Comma 2" xfId="3" xr:uid="{00000000-0005-0000-0000-000003000000}"/>
    <cellStyle name="Hyperlink" xfId="5" builtinId="8"/>
    <cellStyle name="Normal" xfId="0" builtinId="0"/>
    <cellStyle name="Normal 2 3" xfId="2" xr:uid="{00000000-0005-0000-0000-000002000000}"/>
    <cellStyle name="Normal 4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COWI">
      <a:dk1>
        <a:srgbClr val="000000"/>
      </a:dk1>
      <a:lt1>
        <a:sysClr val="window" lastClr="FFFFFF"/>
      </a:lt1>
      <a:dk2>
        <a:srgbClr val="58595B"/>
      </a:dk2>
      <a:lt2>
        <a:srgbClr val="D0C7BD"/>
      </a:lt2>
      <a:accent1>
        <a:srgbClr val="435A69"/>
      </a:accent1>
      <a:accent2>
        <a:srgbClr val="9DB8AF"/>
      </a:accent2>
      <a:accent3>
        <a:srgbClr val="F04E23"/>
      </a:accent3>
      <a:accent4>
        <a:srgbClr val="B3D455"/>
      </a:accent4>
      <a:accent5>
        <a:srgbClr val="0A6791"/>
      </a:accent5>
      <a:accent6>
        <a:srgbClr val="FADD89"/>
      </a:accent6>
      <a:hlink>
        <a:srgbClr val="F04E23"/>
      </a:hlink>
      <a:folHlink>
        <a:srgbClr val="867E78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.dk/Assets/Potentielle-varmebesparelser-ved-loebende-bygningsrenovering-frem-til-2050/sbi-2014-01-potentielle-varmebesparelser-ved-lobende-bygningsrenovering-frem-til-2050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</sheetPr>
  <dimension ref="A1:X1220"/>
  <sheetViews>
    <sheetView tabSelected="1" topLeftCell="H1" workbookViewId="0">
      <selection activeCell="V2" sqref="V2"/>
    </sheetView>
  </sheetViews>
  <sheetFormatPr defaultRowHeight="15" x14ac:dyDescent="0.25"/>
  <cols>
    <col min="1" max="1" width="8.42578125" bestFit="1" customWidth="1"/>
    <col min="2" max="2" width="39.85546875" bestFit="1" customWidth="1"/>
    <col min="3" max="4" width="12.28515625" customWidth="1"/>
    <col min="5" max="5" width="8.42578125" bestFit="1" customWidth="1"/>
    <col min="6" max="6" width="9.28515625" customWidth="1"/>
    <col min="7" max="7" width="8.85546875" bestFit="1" customWidth="1"/>
    <col min="8" max="10" width="8.85546875" customWidth="1"/>
    <col min="11" max="11" width="22.42578125" bestFit="1" customWidth="1"/>
    <col min="12" max="14" width="29.5703125" customWidth="1"/>
    <col min="15" max="15" width="12.28515625" customWidth="1"/>
  </cols>
  <sheetData>
    <row r="1" spans="1:24" s="2" customFormat="1" ht="60" customHeight="1" x14ac:dyDescent="0.25">
      <c r="A1" t="s">
        <v>0</v>
      </c>
      <c r="B1" s="2" t="s">
        <v>1</v>
      </c>
      <c r="C1" s="2" t="s">
        <v>176</v>
      </c>
      <c r="D1" s="2" t="s">
        <v>213</v>
      </c>
      <c r="E1" s="3" t="s">
        <v>2</v>
      </c>
      <c r="F1" s="3" t="s">
        <v>3</v>
      </c>
      <c r="G1" s="3" t="s">
        <v>4</v>
      </c>
      <c r="H1" s="4" t="s">
        <v>214</v>
      </c>
      <c r="I1" s="4" t="s">
        <v>215</v>
      </c>
      <c r="J1" s="4" t="s">
        <v>216</v>
      </c>
      <c r="K1" s="4" t="s">
        <v>5</v>
      </c>
      <c r="L1" s="3" t="str">
        <f>Anvendelseskode!B1</f>
        <v>Bygningstype</v>
      </c>
      <c r="M1" s="3" t="str">
        <f>Anvendelseskode!C1</f>
        <v>Kategori</v>
      </c>
      <c r="N1" s="3" t="str">
        <f>Anvendelseskode!D1</f>
        <v>Sektor</v>
      </c>
      <c r="O1" s="4" t="s">
        <v>206</v>
      </c>
      <c r="P1" s="4" t="s">
        <v>177</v>
      </c>
      <c r="Q1" s="4" t="s">
        <v>178</v>
      </c>
      <c r="R1" s="4" t="s">
        <v>207</v>
      </c>
      <c r="S1" s="4" t="s">
        <v>179</v>
      </c>
      <c r="T1" s="4" t="s">
        <v>180</v>
      </c>
      <c r="U1" s="4" t="s">
        <v>6</v>
      </c>
      <c r="V1" s="4" t="s">
        <v>7</v>
      </c>
      <c r="W1" s="4" t="s">
        <v>217</v>
      </c>
      <c r="X1" s="4" t="s">
        <v>8</v>
      </c>
    </row>
    <row r="2" spans="1:24" x14ac:dyDescent="0.25">
      <c r="A2">
        <f>ROW(B2)</f>
        <v>2</v>
      </c>
      <c r="B2" t="e">
        <f ca="1">INDIRECT($A$1&amp;"B"&amp;A2)</f>
        <v>#REF!</v>
      </c>
      <c r="C2" t="e">
        <f ca="1">INDIRECT($A$1&amp;"C"&amp;A2)</f>
        <v>#REF!</v>
      </c>
      <c r="D2" t="e">
        <f ca="1">INDIRECT($A$1&amp;"D"&amp;A2)</f>
        <v>#REF!</v>
      </c>
      <c r="E2" s="1" t="e">
        <f ca="1">ROUNDDOWN(INDIRECT($A$1&amp;"E"&amp;A2),-1)</f>
        <v>#REF!</v>
      </c>
      <c r="F2" s="1" t="e">
        <f ca="1">INDIRECT($A$1&amp;"G"&amp;A2)+INDIRECT($A$1&amp;"H"&amp;A2)+INDIRECT($A$1&amp;"I"&amp;A2)*0.5</f>
        <v>#REF!</v>
      </c>
      <c r="G2" s="1" t="e">
        <f ca="1">MAX(INDIRECT($A$1&amp;"J"&amp;A2),INDIRECT($A$1&amp;"K"&amp;A2))</f>
        <v>#REF!</v>
      </c>
      <c r="H2" s="1" t="str">
        <f ca="1">IFERROR(INDEX(Varmeinstallation!B:B,MATCH(INDIRECT($A$1&amp;"L"&amp;A2)*1,Varmeinstallation!A:A,0)),"Ingen varmeinstallationer")</f>
        <v>Ingen varmeinstallationer</v>
      </c>
      <c r="I2" s="1" t="str">
        <f ca="1">IFERROR(INDEX(Opvarmningsmiddel!B:B,MATCH(INDIRECT($A$1&amp;"M"&amp;A2)*1,Opvarmningsmiddel!A:A,0)),"")</f>
        <v/>
      </c>
      <c r="J2" s="1" t="e">
        <f ca="1">VALUE(INDIRECT($A$1&amp;"N"&amp;A2))</f>
        <v>#REF!</v>
      </c>
      <c r="K2" s="1" t="str">
        <f ca="1">IFERROR(INDEX(Relationstabel!$C$3:$K$10,MATCH(VALUE(INDIRECT($A$1&amp;"L"&amp;A2)),Relationstabel!$A$3:$A$10,0),MATCH(IFERROR(VALUE(INDIRECT($A$1&amp;"M"&amp;A2)),0),Relationstabel!$C$1:$K$1,0)),"Ingen varmeinstallationer")</f>
        <v>Ingen varmeinstallationer</v>
      </c>
      <c r="L2" s="1" t="e">
        <f ca="1">INDEX(Anvendelseskode!B:B,MATCH($E2,Anvendelseskode!$A:$A,0))</f>
        <v>#REF!</v>
      </c>
      <c r="M2" s="1" t="e">
        <f ca="1">INDEX(Anvendelseskode!C:C,MATCH($E2,Anvendelseskode!$A:$A,0))</f>
        <v>#REF!</v>
      </c>
      <c r="N2" s="1" t="e">
        <f ca="1">INDEX(Anvendelseskode!D:D,MATCH($E2,Anvendelseskode!$A:$A,0))</f>
        <v>#REF!</v>
      </c>
      <c r="O2" s="1" t="str">
        <f ca="1">IFERROR(INDEX(SBi!$2:$2,MATCH(G2,SBi!$1:$1,1)),SBi!$K$2)</f>
        <v>Efter 2006</v>
      </c>
      <c r="P2" s="1">
        <f ca="1">IFERROR(INDEX(SBi!$C$3:$K$28,MATCH(E2,SBi!$B$3:$B$28,0),MATCH(O2,SBi!$C$2:$K$2,0)),0)</f>
        <v>0</v>
      </c>
      <c r="Q2" s="5" t="e">
        <f ca="1">P2*F2/1000</f>
        <v>#REF!</v>
      </c>
      <c r="R2" s="5" t="str">
        <f ca="1">IFERROR(INDEX(VpD!$2:$2,MATCH(G2,VpD!$1:$1,1)),VpD!$I$2)</f>
        <v>&gt;1998</v>
      </c>
      <c r="S2" s="1">
        <f ca="1">IFERROR(INDEX(VpD!$C$3:$I$27,MATCH(E2,VpD!$B$3:$B$27,0),MATCH(R2,VpD!$C$2:$I$2,0)),0)</f>
        <v>0</v>
      </c>
      <c r="T2" s="5" t="e">
        <f ca="1">S2*F2/1000</f>
        <v>#REF!</v>
      </c>
      <c r="U2" t="str">
        <f ca="1">IFERROR(SUBSTITUTE(LEFT(W2,FIND(" ",W2)),"POINT(",""),"")</f>
        <v/>
      </c>
      <c r="V2" t="str">
        <f ca="1">IFERROR(SUBSTITUTE(RIGHT(W2,LEN(W2)-FIND(" ",W2)),")",""),"")</f>
        <v/>
      </c>
      <c r="W2" t="e">
        <f ca="1">INDIRECT($A$1&amp;"o"&amp;A2)</f>
        <v>#REF!</v>
      </c>
      <c r="X2" t="str">
        <f>IFERROR(INDEX(BygningOmraade!B:B,MATCH(A2,BygningOmraade!A:A,0)),"")</f>
        <v/>
      </c>
    </row>
    <row r="3" spans="1:24" x14ac:dyDescent="0.25"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5"/>
    </row>
    <row r="4" spans="1:24" x14ac:dyDescent="0.25"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5"/>
    </row>
    <row r="5" spans="1:24" x14ac:dyDescent="0.25"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5"/>
      <c r="R5" s="5"/>
      <c r="S5" s="1"/>
      <c r="T5" s="5"/>
    </row>
    <row r="6" spans="1:24" x14ac:dyDescent="0.25"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5"/>
      <c r="R6" s="5"/>
      <c r="S6" s="5"/>
      <c r="T6" s="5"/>
    </row>
    <row r="7" spans="1:24" x14ac:dyDescent="0.25"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5"/>
      <c r="R7" s="5"/>
      <c r="S7" s="5"/>
      <c r="T7" s="5"/>
    </row>
    <row r="8" spans="1:24" x14ac:dyDescent="0.25"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5"/>
      <c r="R8" s="5"/>
      <c r="S8" s="5"/>
      <c r="T8" s="5"/>
    </row>
    <row r="9" spans="1:24" x14ac:dyDescent="0.25"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5"/>
      <c r="R9" s="5"/>
      <c r="S9" s="5"/>
      <c r="T9" s="5"/>
    </row>
    <row r="10" spans="1:24" x14ac:dyDescent="0.25"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5"/>
      <c r="R10" s="5"/>
      <c r="S10" s="5"/>
      <c r="T10" s="5"/>
    </row>
    <row r="11" spans="1:24" x14ac:dyDescent="0.25"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5"/>
      <c r="R11" s="5"/>
      <c r="S11" s="5"/>
      <c r="T11" s="5"/>
    </row>
    <row r="12" spans="1:24" x14ac:dyDescent="0.25"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5"/>
      <c r="R12" s="5"/>
      <c r="S12" s="5"/>
      <c r="T12" s="5"/>
    </row>
    <row r="13" spans="1:24" x14ac:dyDescent="0.25"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5"/>
      <c r="R13" s="5"/>
      <c r="S13" s="5"/>
      <c r="T13" s="5"/>
    </row>
    <row r="14" spans="1:24" x14ac:dyDescent="0.25"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5"/>
      <c r="R14" s="5"/>
      <c r="S14" s="5"/>
      <c r="T14" s="5"/>
    </row>
    <row r="15" spans="1:24" x14ac:dyDescent="0.25"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5"/>
      <c r="R15" s="5"/>
      <c r="S15" s="5"/>
      <c r="T15" s="5"/>
    </row>
    <row r="16" spans="1:24" x14ac:dyDescent="0.25"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5"/>
      <c r="R16" s="5"/>
      <c r="S16" s="5"/>
      <c r="T16" s="5"/>
    </row>
    <row r="17" spans="5:20" x14ac:dyDescent="0.25"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5"/>
      <c r="R17" s="5"/>
      <c r="S17" s="5"/>
      <c r="T17" s="5"/>
    </row>
    <row r="18" spans="5:20" x14ac:dyDescent="0.25"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5"/>
      <c r="R18" s="5"/>
      <c r="S18" s="5"/>
      <c r="T18" s="5"/>
    </row>
    <row r="19" spans="5:20" x14ac:dyDescent="0.25"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5"/>
      <c r="R19" s="5"/>
      <c r="S19" s="5"/>
      <c r="T19" s="5"/>
    </row>
    <row r="20" spans="5:20" x14ac:dyDescent="0.25"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5"/>
      <c r="R20" s="5"/>
      <c r="S20" s="5"/>
      <c r="T20" s="5"/>
    </row>
    <row r="21" spans="5:20" x14ac:dyDescent="0.25"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5"/>
      <c r="R21" s="5"/>
      <c r="S21" s="5"/>
      <c r="T21" s="5"/>
    </row>
    <row r="22" spans="5:20" x14ac:dyDescent="0.25"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5"/>
      <c r="R22" s="5"/>
      <c r="S22" s="5"/>
      <c r="T22" s="5"/>
    </row>
    <row r="23" spans="5:20" x14ac:dyDescent="0.25"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5"/>
      <c r="R23" s="5"/>
      <c r="S23" s="5"/>
      <c r="T23" s="5"/>
    </row>
    <row r="24" spans="5:20" x14ac:dyDescent="0.25"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5"/>
      <c r="R24" s="5"/>
      <c r="S24" s="5"/>
      <c r="T24" s="5"/>
    </row>
    <row r="25" spans="5:20" x14ac:dyDescent="0.25"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5"/>
      <c r="R25" s="5"/>
      <c r="S25" s="5"/>
      <c r="T25" s="5"/>
    </row>
    <row r="26" spans="5:20" x14ac:dyDescent="0.25"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5"/>
      <c r="R26" s="5"/>
      <c r="S26" s="5"/>
      <c r="T26" s="5"/>
    </row>
    <row r="27" spans="5:20" x14ac:dyDescent="0.25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5"/>
      <c r="R27" s="5"/>
      <c r="S27" s="5"/>
      <c r="T27" s="5"/>
    </row>
    <row r="28" spans="5:20" x14ac:dyDescent="0.25"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5"/>
      <c r="R28" s="5"/>
      <c r="S28" s="5"/>
      <c r="T28" s="5"/>
    </row>
    <row r="29" spans="5:20" x14ac:dyDescent="0.25"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5"/>
      <c r="R29" s="5"/>
      <c r="S29" s="5"/>
      <c r="T29" s="5"/>
    </row>
    <row r="30" spans="5:20" x14ac:dyDescent="0.25"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"/>
      <c r="R30" s="5"/>
      <c r="S30" s="5"/>
      <c r="T30" s="5"/>
    </row>
    <row r="31" spans="5:20" x14ac:dyDescent="0.25"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5"/>
      <c r="R31" s="5"/>
      <c r="S31" s="5"/>
      <c r="T31" s="5"/>
    </row>
    <row r="32" spans="5:20" x14ac:dyDescent="0.25"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5"/>
      <c r="R32" s="5"/>
      <c r="S32" s="5"/>
      <c r="T32" s="5"/>
    </row>
    <row r="33" spans="5:20" x14ac:dyDescent="0.25"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5"/>
      <c r="R33" s="5"/>
      <c r="S33" s="5"/>
      <c r="T33" s="5"/>
    </row>
    <row r="34" spans="5:20" x14ac:dyDescent="0.25"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5"/>
      <c r="R34" s="5"/>
      <c r="S34" s="5"/>
      <c r="T34" s="5"/>
    </row>
    <row r="35" spans="5:20" x14ac:dyDescent="0.25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5"/>
      <c r="R35" s="5"/>
      <c r="S35" s="5"/>
      <c r="T35" s="5"/>
    </row>
    <row r="36" spans="5:20" x14ac:dyDescent="0.25"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5"/>
      <c r="R36" s="5"/>
      <c r="S36" s="5"/>
      <c r="T36" s="5"/>
    </row>
    <row r="37" spans="5:20" x14ac:dyDescent="0.25"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5"/>
      <c r="R37" s="5"/>
      <c r="S37" s="5"/>
      <c r="T37" s="5"/>
    </row>
    <row r="38" spans="5:20" x14ac:dyDescent="0.25"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5"/>
      <c r="R38" s="5"/>
      <c r="S38" s="5"/>
      <c r="T38" s="5"/>
    </row>
    <row r="39" spans="5:20" x14ac:dyDescent="0.25"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5"/>
      <c r="R39" s="5"/>
      <c r="S39" s="5"/>
      <c r="T39" s="5"/>
    </row>
    <row r="40" spans="5:20" x14ac:dyDescent="0.25"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5"/>
      <c r="R40" s="5"/>
      <c r="S40" s="5"/>
      <c r="T40" s="5"/>
    </row>
    <row r="41" spans="5:20" x14ac:dyDescent="0.25"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5"/>
      <c r="R41" s="5"/>
      <c r="S41" s="5"/>
      <c r="T41" s="5"/>
    </row>
    <row r="42" spans="5:20" x14ac:dyDescent="0.25"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5"/>
      <c r="R42" s="5"/>
      <c r="S42" s="5"/>
      <c r="T42" s="5"/>
    </row>
    <row r="43" spans="5:20" x14ac:dyDescent="0.25"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5"/>
      <c r="R43" s="5"/>
      <c r="S43" s="5"/>
      <c r="T43" s="5"/>
    </row>
    <row r="44" spans="5:20" x14ac:dyDescent="0.25"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5"/>
      <c r="R44" s="5"/>
      <c r="S44" s="5"/>
      <c r="T44" s="5"/>
    </row>
    <row r="45" spans="5:20" x14ac:dyDescent="0.25"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5"/>
      <c r="R45" s="5"/>
      <c r="S45" s="5"/>
      <c r="T45" s="5"/>
    </row>
    <row r="46" spans="5:20" x14ac:dyDescent="0.25"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5"/>
      <c r="R46" s="5"/>
      <c r="S46" s="5"/>
      <c r="T46" s="5"/>
    </row>
    <row r="47" spans="5:20" x14ac:dyDescent="0.25"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5"/>
      <c r="R47" s="5"/>
      <c r="S47" s="5"/>
      <c r="T47" s="5"/>
    </row>
    <row r="48" spans="5:20" x14ac:dyDescent="0.25"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5"/>
      <c r="R48" s="5"/>
      <c r="S48" s="5"/>
      <c r="T48" s="5"/>
    </row>
    <row r="49" spans="5:20" x14ac:dyDescent="0.25"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5"/>
      <c r="R49" s="5"/>
      <c r="S49" s="5"/>
      <c r="T49" s="5"/>
    </row>
    <row r="50" spans="5:20" x14ac:dyDescent="0.25"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5"/>
      <c r="R50" s="5"/>
      <c r="S50" s="5"/>
      <c r="T50" s="5"/>
    </row>
    <row r="51" spans="5:20" x14ac:dyDescent="0.25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5"/>
      <c r="R51" s="5"/>
      <c r="S51" s="5"/>
      <c r="T51" s="5"/>
    </row>
    <row r="52" spans="5:20" x14ac:dyDescent="0.25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5"/>
      <c r="R52" s="5"/>
      <c r="S52" s="5"/>
      <c r="T52" s="5"/>
    </row>
    <row r="53" spans="5:20" x14ac:dyDescent="0.25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5"/>
      <c r="R53" s="5"/>
      <c r="S53" s="5"/>
      <c r="T53" s="5"/>
    </row>
    <row r="54" spans="5:20" x14ac:dyDescent="0.25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5"/>
      <c r="R54" s="5"/>
      <c r="S54" s="5"/>
      <c r="T54" s="5"/>
    </row>
    <row r="55" spans="5:20" x14ac:dyDescent="0.25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5"/>
      <c r="R55" s="5"/>
      <c r="S55" s="5"/>
      <c r="T55" s="5"/>
    </row>
    <row r="56" spans="5:20" x14ac:dyDescent="0.25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5"/>
      <c r="R56" s="5"/>
      <c r="S56" s="5"/>
      <c r="T56" s="5"/>
    </row>
    <row r="57" spans="5:20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5"/>
      <c r="R57" s="5"/>
      <c r="S57" s="5"/>
      <c r="T57" s="5"/>
    </row>
    <row r="58" spans="5:20" x14ac:dyDescent="0.25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5"/>
      <c r="R58" s="5"/>
      <c r="S58" s="5"/>
      <c r="T58" s="5"/>
    </row>
    <row r="59" spans="5:20" x14ac:dyDescent="0.25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5"/>
      <c r="R59" s="5"/>
      <c r="S59" s="5"/>
      <c r="T59" s="5"/>
    </row>
    <row r="60" spans="5:20" x14ac:dyDescent="0.25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5"/>
      <c r="R60" s="5"/>
      <c r="S60" s="5"/>
      <c r="T60" s="5"/>
    </row>
    <row r="61" spans="5:20" x14ac:dyDescent="0.25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5"/>
      <c r="R61" s="5"/>
      <c r="S61" s="5"/>
      <c r="T61" s="5"/>
    </row>
    <row r="62" spans="5:20" x14ac:dyDescent="0.25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5"/>
      <c r="R62" s="5"/>
      <c r="S62" s="5"/>
      <c r="T62" s="5"/>
    </row>
    <row r="63" spans="5:20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5"/>
      <c r="R63" s="5"/>
      <c r="S63" s="5"/>
      <c r="T63" s="5"/>
    </row>
    <row r="64" spans="5:20" x14ac:dyDescent="0.25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5"/>
      <c r="R64" s="5"/>
      <c r="S64" s="5"/>
      <c r="T64" s="5"/>
    </row>
    <row r="65" spans="5:20" x14ac:dyDescent="0.25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5"/>
      <c r="R65" s="5"/>
      <c r="S65" s="5"/>
      <c r="T65" s="5"/>
    </row>
    <row r="66" spans="5:20" x14ac:dyDescent="0.25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5"/>
      <c r="R66" s="5"/>
      <c r="S66" s="5"/>
      <c r="T66" s="5"/>
    </row>
    <row r="67" spans="5:20" x14ac:dyDescent="0.25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5"/>
      <c r="R67" s="5"/>
      <c r="S67" s="5"/>
      <c r="T67" s="5"/>
    </row>
    <row r="68" spans="5:20" x14ac:dyDescent="0.25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5"/>
      <c r="R68" s="5"/>
      <c r="S68" s="5"/>
      <c r="T68" s="5"/>
    </row>
    <row r="69" spans="5:20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5"/>
      <c r="R69" s="5"/>
      <c r="S69" s="5"/>
      <c r="T69" s="5"/>
    </row>
    <row r="70" spans="5:20" x14ac:dyDescent="0.25"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5"/>
      <c r="R70" s="5"/>
      <c r="S70" s="5"/>
      <c r="T70" s="5"/>
    </row>
    <row r="71" spans="5:20" x14ac:dyDescent="0.25"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5"/>
      <c r="R71" s="5"/>
      <c r="S71" s="5"/>
      <c r="T71" s="5"/>
    </row>
    <row r="72" spans="5:20" x14ac:dyDescent="0.25"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5"/>
      <c r="R72" s="5"/>
      <c r="S72" s="5"/>
      <c r="T72" s="5"/>
    </row>
    <row r="73" spans="5:20" x14ac:dyDescent="0.25"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5"/>
      <c r="R73" s="5"/>
      <c r="S73" s="5"/>
      <c r="T73" s="5"/>
    </row>
    <row r="74" spans="5:20" x14ac:dyDescent="0.25"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5"/>
      <c r="R74" s="5"/>
      <c r="S74" s="5"/>
      <c r="T74" s="5"/>
    </row>
    <row r="75" spans="5:20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5"/>
      <c r="R75" s="5"/>
      <c r="S75" s="5"/>
      <c r="T75" s="5"/>
    </row>
    <row r="76" spans="5:20" x14ac:dyDescent="0.25"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5"/>
      <c r="R76" s="5"/>
      <c r="S76" s="5"/>
      <c r="T76" s="5"/>
    </row>
    <row r="77" spans="5:20" x14ac:dyDescent="0.25"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5"/>
      <c r="R77" s="5"/>
      <c r="S77" s="5"/>
      <c r="T77" s="5"/>
    </row>
    <row r="78" spans="5:20" x14ac:dyDescent="0.25"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5"/>
      <c r="R78" s="5"/>
      <c r="S78" s="5"/>
      <c r="T78" s="5"/>
    </row>
    <row r="79" spans="5:20" x14ac:dyDescent="0.25"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5"/>
      <c r="R79" s="5"/>
      <c r="S79" s="5"/>
      <c r="T79" s="5"/>
    </row>
    <row r="80" spans="5:20" x14ac:dyDescent="0.25"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5"/>
      <c r="R80" s="5"/>
      <c r="S80" s="5"/>
      <c r="T80" s="5"/>
    </row>
    <row r="81" spans="5:20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5"/>
      <c r="R81" s="5"/>
      <c r="S81" s="5"/>
      <c r="T81" s="5"/>
    </row>
    <row r="82" spans="5:20" x14ac:dyDescent="0.25"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5"/>
      <c r="R82" s="5"/>
      <c r="S82" s="5"/>
      <c r="T82" s="5"/>
    </row>
    <row r="83" spans="5:20" x14ac:dyDescent="0.25"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5"/>
      <c r="R83" s="5"/>
      <c r="S83" s="5"/>
      <c r="T83" s="5"/>
    </row>
    <row r="84" spans="5:20" x14ac:dyDescent="0.25"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5"/>
      <c r="R84" s="5"/>
      <c r="S84" s="5"/>
      <c r="T84" s="5"/>
    </row>
    <row r="85" spans="5:20" x14ac:dyDescent="0.25"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5"/>
      <c r="R85" s="5"/>
      <c r="S85" s="5"/>
      <c r="T85" s="5"/>
    </row>
    <row r="86" spans="5:20" x14ac:dyDescent="0.25"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5"/>
      <c r="R86" s="5"/>
      <c r="S86" s="5"/>
      <c r="T86" s="5"/>
    </row>
    <row r="87" spans="5:20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5"/>
      <c r="R87" s="5"/>
      <c r="S87" s="5"/>
      <c r="T87" s="5"/>
    </row>
    <row r="88" spans="5:20" x14ac:dyDescent="0.25"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5"/>
      <c r="R88" s="5"/>
      <c r="S88" s="5"/>
      <c r="T88" s="5"/>
    </row>
    <row r="89" spans="5:20" x14ac:dyDescent="0.25"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5"/>
      <c r="R89" s="5"/>
      <c r="S89" s="5"/>
      <c r="T89" s="5"/>
    </row>
    <row r="90" spans="5:20" x14ac:dyDescent="0.25"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5"/>
      <c r="R90" s="5"/>
      <c r="S90" s="5"/>
      <c r="T90" s="5"/>
    </row>
    <row r="91" spans="5:20" x14ac:dyDescent="0.25"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5"/>
      <c r="R91" s="5"/>
      <c r="S91" s="5"/>
      <c r="T91" s="5"/>
    </row>
    <row r="92" spans="5:20" x14ac:dyDescent="0.25"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5"/>
      <c r="R92" s="5"/>
      <c r="S92" s="5"/>
      <c r="T92" s="5"/>
    </row>
    <row r="93" spans="5:20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5"/>
      <c r="R93" s="5"/>
      <c r="S93" s="5"/>
      <c r="T93" s="5"/>
    </row>
    <row r="94" spans="5:20" x14ac:dyDescent="0.25"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5"/>
      <c r="R94" s="5"/>
      <c r="S94" s="5"/>
      <c r="T94" s="5"/>
    </row>
    <row r="95" spans="5:20" x14ac:dyDescent="0.25"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5"/>
      <c r="R95" s="5"/>
      <c r="S95" s="5"/>
      <c r="T95" s="5"/>
    </row>
    <row r="96" spans="5:20" x14ac:dyDescent="0.25"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5"/>
      <c r="R96" s="5"/>
      <c r="S96" s="5"/>
      <c r="T96" s="5"/>
    </row>
    <row r="97" spans="5:20" x14ac:dyDescent="0.25"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5"/>
      <c r="R97" s="5"/>
      <c r="S97" s="5"/>
      <c r="T97" s="5"/>
    </row>
    <row r="98" spans="5:20" x14ac:dyDescent="0.25"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5"/>
      <c r="R98" s="5"/>
      <c r="S98" s="5"/>
      <c r="T98" s="5"/>
    </row>
    <row r="99" spans="5:20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5"/>
      <c r="R99" s="5"/>
      <c r="S99" s="5"/>
      <c r="T99" s="5"/>
    </row>
    <row r="100" spans="5:20" x14ac:dyDescent="0.25"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5"/>
      <c r="R100" s="5"/>
      <c r="S100" s="5"/>
      <c r="T100" s="5"/>
    </row>
    <row r="101" spans="5:20" x14ac:dyDescent="0.25"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5"/>
      <c r="R101" s="5"/>
      <c r="S101" s="5"/>
      <c r="T101" s="5"/>
    </row>
    <row r="102" spans="5:20" x14ac:dyDescent="0.25"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5"/>
      <c r="R102" s="5"/>
      <c r="S102" s="5"/>
      <c r="T102" s="5"/>
    </row>
    <row r="103" spans="5:20" x14ac:dyDescent="0.25"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5"/>
      <c r="R103" s="5"/>
      <c r="S103" s="5"/>
      <c r="T103" s="5"/>
    </row>
    <row r="104" spans="5:20" x14ac:dyDescent="0.25"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5"/>
      <c r="R104" s="5"/>
      <c r="S104" s="5"/>
      <c r="T104" s="5"/>
    </row>
    <row r="105" spans="5:20" x14ac:dyDescent="0.25"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5"/>
      <c r="R105" s="5"/>
      <c r="S105" s="5"/>
      <c r="T105" s="5"/>
    </row>
    <row r="106" spans="5:20" x14ac:dyDescent="0.25"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5"/>
      <c r="R106" s="5"/>
      <c r="S106" s="5"/>
      <c r="T106" s="5"/>
    </row>
    <row r="107" spans="5:20" x14ac:dyDescent="0.25"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5"/>
      <c r="R107" s="5"/>
      <c r="S107" s="5"/>
      <c r="T107" s="5"/>
    </row>
    <row r="108" spans="5:20" x14ac:dyDescent="0.25"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5"/>
      <c r="R108" s="5"/>
      <c r="S108" s="5"/>
      <c r="T108" s="5"/>
    </row>
    <row r="109" spans="5:20" x14ac:dyDescent="0.25"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5"/>
      <c r="R109" s="5"/>
      <c r="S109" s="5"/>
      <c r="T109" s="5"/>
    </row>
    <row r="110" spans="5:20" x14ac:dyDescent="0.25"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5"/>
      <c r="R110" s="5"/>
      <c r="S110" s="5"/>
      <c r="T110" s="5"/>
    </row>
    <row r="111" spans="5:20" x14ac:dyDescent="0.25"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5"/>
      <c r="R111" s="5"/>
      <c r="S111" s="5"/>
      <c r="T111" s="5"/>
    </row>
    <row r="112" spans="5:20" x14ac:dyDescent="0.25"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5"/>
      <c r="R112" s="5"/>
      <c r="S112" s="5"/>
      <c r="T112" s="5"/>
    </row>
    <row r="113" spans="5:20" x14ac:dyDescent="0.25"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5"/>
      <c r="R113" s="5"/>
      <c r="S113" s="5"/>
      <c r="T113" s="5"/>
    </row>
    <row r="114" spans="5:20" x14ac:dyDescent="0.25"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5"/>
      <c r="R114" s="5"/>
      <c r="S114" s="5"/>
      <c r="T114" s="5"/>
    </row>
    <row r="115" spans="5:20" x14ac:dyDescent="0.25"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5"/>
      <c r="R115" s="5"/>
      <c r="S115" s="5"/>
      <c r="T115" s="5"/>
    </row>
    <row r="116" spans="5:20" x14ac:dyDescent="0.25"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5"/>
      <c r="R116" s="5"/>
      <c r="S116" s="5"/>
      <c r="T116" s="5"/>
    </row>
    <row r="117" spans="5:20" x14ac:dyDescent="0.25"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5"/>
      <c r="R117" s="5"/>
      <c r="S117" s="5"/>
      <c r="T117" s="5"/>
    </row>
    <row r="118" spans="5:20" x14ac:dyDescent="0.25"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5"/>
      <c r="R118" s="5"/>
      <c r="S118" s="5"/>
      <c r="T118" s="5"/>
    </row>
    <row r="119" spans="5:20" x14ac:dyDescent="0.25"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5"/>
      <c r="R119" s="5"/>
      <c r="S119" s="5"/>
      <c r="T119" s="5"/>
    </row>
    <row r="120" spans="5:20" x14ac:dyDescent="0.25"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5"/>
      <c r="R120" s="5"/>
      <c r="S120" s="5"/>
      <c r="T120" s="5"/>
    </row>
    <row r="121" spans="5:20" x14ac:dyDescent="0.25"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5"/>
      <c r="R121" s="5"/>
      <c r="S121" s="5"/>
      <c r="T121" s="5"/>
    </row>
    <row r="122" spans="5:20" x14ac:dyDescent="0.25"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5"/>
      <c r="R122" s="5"/>
      <c r="S122" s="5"/>
      <c r="T122" s="5"/>
    </row>
    <row r="123" spans="5:20" x14ac:dyDescent="0.25"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5"/>
      <c r="R123" s="5"/>
      <c r="S123" s="5"/>
      <c r="T123" s="5"/>
    </row>
    <row r="124" spans="5:20" x14ac:dyDescent="0.25"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5"/>
      <c r="R124" s="5"/>
      <c r="S124" s="5"/>
      <c r="T124" s="5"/>
    </row>
    <row r="125" spans="5:20" x14ac:dyDescent="0.25"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5"/>
      <c r="R125" s="5"/>
      <c r="S125" s="5"/>
      <c r="T125" s="5"/>
    </row>
    <row r="126" spans="5:20" x14ac:dyDescent="0.25"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5"/>
      <c r="R126" s="5"/>
      <c r="S126" s="5"/>
      <c r="T126" s="5"/>
    </row>
    <row r="127" spans="5:20" x14ac:dyDescent="0.25"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5"/>
      <c r="R127" s="5"/>
      <c r="S127" s="5"/>
      <c r="T127" s="5"/>
    </row>
    <row r="128" spans="5:20" x14ac:dyDescent="0.25"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5"/>
      <c r="R128" s="5"/>
      <c r="S128" s="5"/>
      <c r="T128" s="5"/>
    </row>
    <row r="129" spans="5:20" x14ac:dyDescent="0.25"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5"/>
      <c r="R129" s="5"/>
      <c r="S129" s="5"/>
      <c r="T129" s="5"/>
    </row>
    <row r="130" spans="5:20" x14ac:dyDescent="0.25"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5"/>
      <c r="R130" s="5"/>
      <c r="S130" s="5"/>
      <c r="T130" s="5"/>
    </row>
    <row r="131" spans="5:20" x14ac:dyDescent="0.25"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5"/>
      <c r="R131" s="5"/>
      <c r="S131" s="5"/>
      <c r="T131" s="5"/>
    </row>
    <row r="132" spans="5:20" x14ac:dyDescent="0.25"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5"/>
      <c r="R132" s="5"/>
      <c r="S132" s="5"/>
      <c r="T132" s="5"/>
    </row>
    <row r="133" spans="5:20" x14ac:dyDescent="0.25"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5"/>
      <c r="R133" s="5"/>
      <c r="S133" s="5"/>
      <c r="T133" s="5"/>
    </row>
    <row r="134" spans="5:20" x14ac:dyDescent="0.25"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5"/>
      <c r="R134" s="5"/>
      <c r="S134" s="5"/>
      <c r="T134" s="5"/>
    </row>
    <row r="135" spans="5:20" x14ac:dyDescent="0.25"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5"/>
      <c r="R135" s="5"/>
      <c r="S135" s="5"/>
      <c r="T135" s="5"/>
    </row>
    <row r="136" spans="5:20" x14ac:dyDescent="0.25"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5"/>
      <c r="R136" s="5"/>
      <c r="S136" s="5"/>
      <c r="T136" s="5"/>
    </row>
    <row r="137" spans="5:20" x14ac:dyDescent="0.25"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5"/>
      <c r="R137" s="5"/>
      <c r="S137" s="5"/>
      <c r="T137" s="5"/>
    </row>
    <row r="138" spans="5:20" x14ac:dyDescent="0.25"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5"/>
      <c r="R138" s="5"/>
      <c r="S138" s="5"/>
      <c r="T138" s="5"/>
    </row>
    <row r="139" spans="5:20" x14ac:dyDescent="0.25"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5"/>
      <c r="R139" s="5"/>
      <c r="S139" s="5"/>
      <c r="T139" s="5"/>
    </row>
    <row r="140" spans="5:20" x14ac:dyDescent="0.25"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5"/>
      <c r="R140" s="5"/>
      <c r="S140" s="5"/>
      <c r="T140" s="5"/>
    </row>
    <row r="141" spans="5:20" x14ac:dyDescent="0.25"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5"/>
      <c r="R141" s="5"/>
      <c r="S141" s="5"/>
      <c r="T141" s="5"/>
    </row>
    <row r="142" spans="5:20" x14ac:dyDescent="0.25"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5"/>
      <c r="R142" s="5"/>
      <c r="S142" s="5"/>
      <c r="T142" s="5"/>
    </row>
    <row r="143" spans="5:20" x14ac:dyDescent="0.25"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5"/>
      <c r="R143" s="5"/>
      <c r="S143" s="5"/>
      <c r="T143" s="5"/>
    </row>
    <row r="144" spans="5:20" x14ac:dyDescent="0.25"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5"/>
      <c r="R144" s="5"/>
      <c r="S144" s="5"/>
      <c r="T144" s="5"/>
    </row>
    <row r="145" spans="5:20" x14ac:dyDescent="0.25"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5"/>
      <c r="R145" s="5"/>
      <c r="S145" s="5"/>
      <c r="T145" s="5"/>
    </row>
    <row r="146" spans="5:20" x14ac:dyDescent="0.25"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5"/>
      <c r="R146" s="5"/>
      <c r="S146" s="5"/>
      <c r="T146" s="5"/>
    </row>
    <row r="147" spans="5:20" x14ac:dyDescent="0.25"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5"/>
      <c r="R147" s="5"/>
      <c r="S147" s="5"/>
      <c r="T147" s="5"/>
    </row>
    <row r="148" spans="5:20" x14ac:dyDescent="0.25"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5"/>
      <c r="R148" s="5"/>
      <c r="S148" s="5"/>
      <c r="T148" s="5"/>
    </row>
    <row r="149" spans="5:20" x14ac:dyDescent="0.25"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5"/>
      <c r="R149" s="5"/>
      <c r="S149" s="5"/>
      <c r="T149" s="5"/>
    </row>
    <row r="150" spans="5:20" x14ac:dyDescent="0.25"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5"/>
      <c r="R150" s="5"/>
      <c r="S150" s="5"/>
      <c r="T150" s="5"/>
    </row>
    <row r="151" spans="5:20" x14ac:dyDescent="0.25"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5"/>
      <c r="R151" s="5"/>
      <c r="S151" s="5"/>
      <c r="T151" s="5"/>
    </row>
    <row r="152" spans="5:20" x14ac:dyDescent="0.25"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5"/>
      <c r="R152" s="5"/>
      <c r="S152" s="5"/>
      <c r="T152" s="5"/>
    </row>
    <row r="153" spans="5:20" x14ac:dyDescent="0.25"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5"/>
      <c r="R153" s="5"/>
      <c r="S153" s="5"/>
      <c r="T153" s="5"/>
    </row>
    <row r="154" spans="5:20" x14ac:dyDescent="0.25"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5"/>
      <c r="R154" s="5"/>
      <c r="S154" s="5"/>
      <c r="T154" s="5"/>
    </row>
    <row r="155" spans="5:20" x14ac:dyDescent="0.25"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5"/>
      <c r="R155" s="5"/>
      <c r="S155" s="5"/>
      <c r="T155" s="5"/>
    </row>
    <row r="156" spans="5:20" x14ac:dyDescent="0.25"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5"/>
      <c r="R156" s="5"/>
      <c r="S156" s="5"/>
      <c r="T156" s="5"/>
    </row>
    <row r="157" spans="5:20" x14ac:dyDescent="0.25"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5"/>
      <c r="R157" s="5"/>
      <c r="S157" s="5"/>
      <c r="T157" s="5"/>
    </row>
    <row r="158" spans="5:20" x14ac:dyDescent="0.25"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5"/>
      <c r="R158" s="5"/>
      <c r="S158" s="5"/>
      <c r="T158" s="5"/>
    </row>
    <row r="159" spans="5:20" x14ac:dyDescent="0.25"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5"/>
      <c r="R159" s="5"/>
      <c r="S159" s="5"/>
      <c r="T159" s="5"/>
    </row>
    <row r="160" spans="5:20" x14ac:dyDescent="0.25"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5"/>
      <c r="R160" s="5"/>
      <c r="S160" s="5"/>
      <c r="T160" s="5"/>
    </row>
    <row r="161" spans="5:20" x14ac:dyDescent="0.25"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5"/>
      <c r="R161" s="5"/>
      <c r="S161" s="5"/>
      <c r="T161" s="5"/>
    </row>
    <row r="162" spans="5:20" x14ac:dyDescent="0.25"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5"/>
      <c r="R162" s="5"/>
      <c r="S162" s="5"/>
      <c r="T162" s="5"/>
    </row>
    <row r="163" spans="5:20" x14ac:dyDescent="0.25"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5"/>
      <c r="R163" s="5"/>
      <c r="S163" s="5"/>
      <c r="T163" s="5"/>
    </row>
    <row r="164" spans="5:20" x14ac:dyDescent="0.25"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5"/>
      <c r="R164" s="5"/>
      <c r="S164" s="5"/>
      <c r="T164" s="5"/>
    </row>
    <row r="165" spans="5:20" x14ac:dyDescent="0.25"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5"/>
      <c r="R165" s="5"/>
      <c r="S165" s="5"/>
      <c r="T165" s="5"/>
    </row>
    <row r="166" spans="5:20" x14ac:dyDescent="0.25"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5"/>
      <c r="R166" s="5"/>
      <c r="S166" s="5"/>
      <c r="T166" s="5"/>
    </row>
    <row r="167" spans="5:20" x14ac:dyDescent="0.25"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5"/>
      <c r="R167" s="5"/>
      <c r="S167" s="5"/>
      <c r="T167" s="5"/>
    </row>
    <row r="168" spans="5:20" x14ac:dyDescent="0.25"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5"/>
      <c r="R168" s="5"/>
      <c r="S168" s="5"/>
      <c r="T168" s="5"/>
    </row>
    <row r="169" spans="5:20" x14ac:dyDescent="0.25"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5"/>
      <c r="R169" s="5"/>
      <c r="S169" s="5"/>
      <c r="T169" s="5"/>
    </row>
    <row r="170" spans="5:20" x14ac:dyDescent="0.25"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5"/>
      <c r="R170" s="5"/>
      <c r="S170" s="5"/>
      <c r="T170" s="5"/>
    </row>
    <row r="171" spans="5:20" x14ac:dyDescent="0.25"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5"/>
      <c r="R171" s="5"/>
      <c r="S171" s="5"/>
      <c r="T171" s="5"/>
    </row>
    <row r="172" spans="5:20" x14ac:dyDescent="0.25"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5"/>
      <c r="R172" s="5"/>
      <c r="S172" s="5"/>
      <c r="T172" s="5"/>
    </row>
    <row r="173" spans="5:20" x14ac:dyDescent="0.25"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5"/>
      <c r="R173" s="5"/>
      <c r="S173" s="5"/>
      <c r="T173" s="5"/>
    </row>
    <row r="174" spans="5:20" x14ac:dyDescent="0.25"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5"/>
      <c r="R174" s="5"/>
      <c r="S174" s="5"/>
      <c r="T174" s="5"/>
    </row>
    <row r="175" spans="5:20" x14ac:dyDescent="0.25"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5"/>
      <c r="R175" s="5"/>
      <c r="S175" s="5"/>
      <c r="T175" s="5"/>
    </row>
    <row r="176" spans="5:20" x14ac:dyDescent="0.25"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5"/>
      <c r="R176" s="5"/>
      <c r="S176" s="5"/>
      <c r="T176" s="5"/>
    </row>
    <row r="177" spans="5:20" x14ac:dyDescent="0.25"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5"/>
      <c r="R177" s="5"/>
      <c r="S177" s="5"/>
      <c r="T177" s="5"/>
    </row>
    <row r="178" spans="5:20" x14ac:dyDescent="0.25"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5"/>
      <c r="R178" s="5"/>
      <c r="S178" s="5"/>
      <c r="T178" s="5"/>
    </row>
    <row r="179" spans="5:20" x14ac:dyDescent="0.25"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5"/>
      <c r="R179" s="5"/>
      <c r="S179" s="5"/>
      <c r="T179" s="5"/>
    </row>
    <row r="180" spans="5:20" x14ac:dyDescent="0.25"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5"/>
      <c r="R180" s="5"/>
      <c r="S180" s="5"/>
      <c r="T180" s="5"/>
    </row>
    <row r="181" spans="5:20" x14ac:dyDescent="0.25"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5"/>
      <c r="R181" s="5"/>
      <c r="S181" s="5"/>
      <c r="T181" s="5"/>
    </row>
    <row r="182" spans="5:20" x14ac:dyDescent="0.25"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5"/>
      <c r="R182" s="5"/>
      <c r="S182" s="5"/>
      <c r="T182" s="5"/>
    </row>
    <row r="183" spans="5:20" x14ac:dyDescent="0.25"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5"/>
      <c r="R183" s="5"/>
      <c r="S183" s="5"/>
      <c r="T183" s="5"/>
    </row>
    <row r="184" spans="5:20" x14ac:dyDescent="0.25"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5"/>
      <c r="R184" s="5"/>
      <c r="S184" s="5"/>
      <c r="T184" s="5"/>
    </row>
    <row r="185" spans="5:20" x14ac:dyDescent="0.25"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5"/>
      <c r="R185" s="5"/>
      <c r="S185" s="5"/>
      <c r="T185" s="5"/>
    </row>
    <row r="186" spans="5:20" x14ac:dyDescent="0.25"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5"/>
      <c r="R186" s="5"/>
      <c r="S186" s="5"/>
      <c r="T186" s="5"/>
    </row>
    <row r="187" spans="5:20" x14ac:dyDescent="0.25"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5"/>
      <c r="R187" s="5"/>
      <c r="S187" s="5"/>
      <c r="T187" s="5"/>
    </row>
    <row r="188" spans="5:20" x14ac:dyDescent="0.25"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5"/>
      <c r="R188" s="5"/>
      <c r="S188" s="5"/>
      <c r="T188" s="5"/>
    </row>
    <row r="189" spans="5:20" x14ac:dyDescent="0.25"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5"/>
      <c r="R189" s="5"/>
      <c r="S189" s="5"/>
      <c r="T189" s="5"/>
    </row>
    <row r="190" spans="5:20" x14ac:dyDescent="0.25"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5"/>
      <c r="R190" s="5"/>
      <c r="S190" s="5"/>
      <c r="T190" s="5"/>
    </row>
    <row r="191" spans="5:20" x14ac:dyDescent="0.25"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5"/>
      <c r="R191" s="5"/>
      <c r="S191" s="5"/>
      <c r="T191" s="5"/>
    </row>
    <row r="192" spans="5:20" x14ac:dyDescent="0.25"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5"/>
      <c r="R192" s="5"/>
      <c r="S192" s="5"/>
      <c r="T192" s="5"/>
    </row>
    <row r="193" spans="5:20" x14ac:dyDescent="0.25"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5"/>
      <c r="R193" s="5"/>
      <c r="S193" s="5"/>
      <c r="T193" s="5"/>
    </row>
    <row r="194" spans="5:20" x14ac:dyDescent="0.25"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5"/>
      <c r="R194" s="5"/>
      <c r="S194" s="5"/>
      <c r="T194" s="5"/>
    </row>
    <row r="195" spans="5:20" x14ac:dyDescent="0.25"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5"/>
      <c r="R195" s="5"/>
      <c r="S195" s="5"/>
      <c r="T195" s="5"/>
    </row>
    <row r="196" spans="5:20" x14ac:dyDescent="0.25"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5"/>
      <c r="R196" s="5"/>
      <c r="S196" s="5"/>
      <c r="T196" s="5"/>
    </row>
    <row r="197" spans="5:20" x14ac:dyDescent="0.25"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5"/>
      <c r="R197" s="5"/>
      <c r="S197" s="5"/>
      <c r="T197" s="5"/>
    </row>
    <row r="198" spans="5:20" x14ac:dyDescent="0.25"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5"/>
      <c r="R198" s="5"/>
      <c r="S198" s="5"/>
      <c r="T198" s="5"/>
    </row>
    <row r="199" spans="5:20" x14ac:dyDescent="0.25"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5"/>
      <c r="R199" s="5"/>
      <c r="S199" s="5"/>
      <c r="T199" s="5"/>
    </row>
    <row r="200" spans="5:20" x14ac:dyDescent="0.25"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5"/>
      <c r="R200" s="5"/>
      <c r="S200" s="5"/>
      <c r="T200" s="5"/>
    </row>
    <row r="201" spans="5:20" x14ac:dyDescent="0.25"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5"/>
      <c r="R201" s="5"/>
      <c r="S201" s="5"/>
      <c r="T201" s="5"/>
    </row>
    <row r="202" spans="5:20" x14ac:dyDescent="0.25"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5"/>
      <c r="R202" s="5"/>
      <c r="S202" s="5"/>
      <c r="T202" s="5"/>
    </row>
    <row r="203" spans="5:20" x14ac:dyDescent="0.25"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5"/>
      <c r="R203" s="5"/>
      <c r="S203" s="5"/>
      <c r="T203" s="5"/>
    </row>
    <row r="204" spans="5:20" x14ac:dyDescent="0.25"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5"/>
      <c r="R204" s="5"/>
      <c r="S204" s="5"/>
      <c r="T204" s="5"/>
    </row>
    <row r="205" spans="5:20" x14ac:dyDescent="0.25"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5"/>
      <c r="R205" s="5"/>
      <c r="S205" s="5"/>
      <c r="T205" s="5"/>
    </row>
    <row r="206" spans="5:20" x14ac:dyDescent="0.25"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5"/>
      <c r="R206" s="5"/>
      <c r="S206" s="5"/>
      <c r="T206" s="5"/>
    </row>
    <row r="207" spans="5:20" x14ac:dyDescent="0.25"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5"/>
      <c r="R207" s="5"/>
      <c r="S207" s="5"/>
      <c r="T207" s="5"/>
    </row>
    <row r="208" spans="5:20" x14ac:dyDescent="0.25"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5"/>
      <c r="R208" s="5"/>
      <c r="S208" s="5"/>
      <c r="T208" s="5"/>
    </row>
    <row r="209" spans="5:20" x14ac:dyDescent="0.25"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5"/>
      <c r="R209" s="5"/>
      <c r="S209" s="5"/>
      <c r="T209" s="5"/>
    </row>
    <row r="210" spans="5:20" x14ac:dyDescent="0.25"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5"/>
      <c r="R210" s="5"/>
      <c r="S210" s="5"/>
      <c r="T210" s="5"/>
    </row>
    <row r="211" spans="5:20" x14ac:dyDescent="0.25"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5"/>
      <c r="R211" s="5"/>
      <c r="S211" s="5"/>
      <c r="T211" s="5"/>
    </row>
    <row r="212" spans="5:20" x14ac:dyDescent="0.25"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5"/>
      <c r="R212" s="5"/>
      <c r="S212" s="5"/>
      <c r="T212" s="5"/>
    </row>
    <row r="213" spans="5:20" x14ac:dyDescent="0.25"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5"/>
      <c r="R213" s="5"/>
      <c r="S213" s="5"/>
      <c r="T213" s="5"/>
    </row>
    <row r="214" spans="5:20" x14ac:dyDescent="0.25"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5"/>
      <c r="R214" s="5"/>
      <c r="S214" s="5"/>
      <c r="T214" s="5"/>
    </row>
    <row r="215" spans="5:20" x14ac:dyDescent="0.25"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5"/>
      <c r="R215" s="5"/>
      <c r="S215" s="5"/>
      <c r="T215" s="5"/>
    </row>
    <row r="216" spans="5:20" x14ac:dyDescent="0.25"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5"/>
      <c r="R216" s="5"/>
      <c r="S216" s="5"/>
      <c r="T216" s="5"/>
    </row>
    <row r="217" spans="5:20" x14ac:dyDescent="0.25"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5"/>
      <c r="R217" s="5"/>
      <c r="S217" s="5"/>
      <c r="T217" s="5"/>
    </row>
    <row r="218" spans="5:20" x14ac:dyDescent="0.25"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5"/>
      <c r="R218" s="5"/>
      <c r="S218" s="5"/>
      <c r="T218" s="5"/>
    </row>
    <row r="219" spans="5:20" x14ac:dyDescent="0.25"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5"/>
      <c r="R219" s="5"/>
      <c r="S219" s="5"/>
      <c r="T219" s="5"/>
    </row>
    <row r="220" spans="5:20" x14ac:dyDescent="0.25"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5"/>
      <c r="R220" s="5"/>
      <c r="S220" s="5"/>
      <c r="T220" s="5"/>
    </row>
    <row r="221" spans="5:20" x14ac:dyDescent="0.25"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5"/>
      <c r="R221" s="5"/>
      <c r="S221" s="5"/>
      <c r="T221" s="5"/>
    </row>
    <row r="222" spans="5:20" x14ac:dyDescent="0.25"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5"/>
      <c r="R222" s="5"/>
      <c r="S222" s="5"/>
      <c r="T222" s="5"/>
    </row>
    <row r="223" spans="5:20" x14ac:dyDescent="0.25"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5"/>
      <c r="R223" s="5"/>
      <c r="S223" s="5"/>
      <c r="T223" s="5"/>
    </row>
    <row r="224" spans="5:20" x14ac:dyDescent="0.25"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5"/>
      <c r="R224" s="5"/>
      <c r="S224" s="5"/>
      <c r="T224" s="5"/>
    </row>
    <row r="225" spans="5:20" x14ac:dyDescent="0.25"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5"/>
      <c r="R225" s="5"/>
      <c r="S225" s="5"/>
      <c r="T225" s="5"/>
    </row>
    <row r="226" spans="5:20" x14ac:dyDescent="0.25"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5"/>
      <c r="R226" s="5"/>
      <c r="S226" s="5"/>
      <c r="T226" s="5"/>
    </row>
    <row r="227" spans="5:20" x14ac:dyDescent="0.25"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5"/>
      <c r="R227" s="5"/>
      <c r="S227" s="5"/>
      <c r="T227" s="5"/>
    </row>
    <row r="228" spans="5:20" x14ac:dyDescent="0.25"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5"/>
      <c r="R228" s="5"/>
      <c r="S228" s="5"/>
      <c r="T228" s="5"/>
    </row>
    <row r="229" spans="5:20" x14ac:dyDescent="0.25"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5"/>
      <c r="R229" s="5"/>
      <c r="S229" s="5"/>
      <c r="T229" s="5"/>
    </row>
    <row r="230" spans="5:20" x14ac:dyDescent="0.25"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5"/>
      <c r="R230" s="5"/>
      <c r="S230" s="5"/>
      <c r="T230" s="5"/>
    </row>
    <row r="231" spans="5:20" x14ac:dyDescent="0.25"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5"/>
      <c r="R231" s="5"/>
      <c r="S231" s="5"/>
      <c r="T231" s="5"/>
    </row>
    <row r="232" spans="5:20" x14ac:dyDescent="0.25"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5"/>
      <c r="R232" s="5"/>
      <c r="S232" s="5"/>
      <c r="T232" s="5"/>
    </row>
    <row r="233" spans="5:20" x14ac:dyDescent="0.25"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5"/>
      <c r="R233" s="5"/>
      <c r="S233" s="5"/>
      <c r="T233" s="5"/>
    </row>
    <row r="234" spans="5:20" x14ac:dyDescent="0.25"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5"/>
      <c r="R234" s="5"/>
      <c r="S234" s="5"/>
      <c r="T234" s="5"/>
    </row>
    <row r="235" spans="5:20" x14ac:dyDescent="0.25"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5"/>
      <c r="R235" s="5"/>
      <c r="S235" s="5"/>
      <c r="T235" s="5"/>
    </row>
    <row r="236" spans="5:20" x14ac:dyDescent="0.25"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5"/>
      <c r="R236" s="5"/>
      <c r="S236" s="5"/>
      <c r="T236" s="5"/>
    </row>
    <row r="237" spans="5:20" x14ac:dyDescent="0.25"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5"/>
      <c r="R237" s="5"/>
      <c r="S237" s="5"/>
      <c r="T237" s="5"/>
    </row>
    <row r="238" spans="5:20" x14ac:dyDescent="0.25"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5"/>
      <c r="R238" s="5"/>
      <c r="S238" s="5"/>
      <c r="T238" s="5"/>
    </row>
    <row r="239" spans="5:20" x14ac:dyDescent="0.25"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5"/>
      <c r="R239" s="5"/>
      <c r="S239" s="5"/>
      <c r="T239" s="5"/>
    </row>
    <row r="240" spans="5:20" x14ac:dyDescent="0.25"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5"/>
      <c r="R240" s="5"/>
      <c r="S240" s="5"/>
      <c r="T240" s="5"/>
    </row>
    <row r="241" spans="5:20" x14ac:dyDescent="0.25"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5"/>
      <c r="R241" s="5"/>
      <c r="S241" s="5"/>
      <c r="T241" s="5"/>
    </row>
    <row r="242" spans="5:20" x14ac:dyDescent="0.25"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5"/>
      <c r="R242" s="5"/>
      <c r="S242" s="5"/>
      <c r="T242" s="5"/>
    </row>
    <row r="243" spans="5:20" x14ac:dyDescent="0.25"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5"/>
      <c r="R243" s="5"/>
      <c r="S243" s="5"/>
      <c r="T243" s="5"/>
    </row>
    <row r="244" spans="5:20" x14ac:dyDescent="0.25"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5"/>
      <c r="R244" s="5"/>
      <c r="S244" s="5"/>
      <c r="T244" s="5"/>
    </row>
    <row r="245" spans="5:20" x14ac:dyDescent="0.25"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5"/>
      <c r="R245" s="5"/>
      <c r="S245" s="5"/>
      <c r="T245" s="5"/>
    </row>
    <row r="246" spans="5:20" x14ac:dyDescent="0.25"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5"/>
      <c r="R246" s="5"/>
      <c r="S246" s="5"/>
      <c r="T246" s="5"/>
    </row>
    <row r="247" spans="5:20" x14ac:dyDescent="0.25"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5"/>
      <c r="R247" s="5"/>
      <c r="S247" s="5"/>
      <c r="T247" s="5"/>
    </row>
    <row r="248" spans="5:20" x14ac:dyDescent="0.25"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5"/>
      <c r="R248" s="5"/>
      <c r="S248" s="5"/>
      <c r="T248" s="5"/>
    </row>
    <row r="249" spans="5:20" x14ac:dyDescent="0.25"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5"/>
      <c r="R249" s="5"/>
      <c r="S249" s="5"/>
      <c r="T249" s="5"/>
    </row>
    <row r="250" spans="5:20" x14ac:dyDescent="0.25"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5"/>
      <c r="R250" s="5"/>
      <c r="S250" s="5"/>
      <c r="T250" s="5"/>
    </row>
    <row r="251" spans="5:20" x14ac:dyDescent="0.25"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5"/>
      <c r="R251" s="5"/>
      <c r="S251" s="5"/>
      <c r="T251" s="5"/>
    </row>
    <row r="252" spans="5:20" x14ac:dyDescent="0.25"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5"/>
      <c r="R252" s="5"/>
      <c r="S252" s="5"/>
      <c r="T252" s="5"/>
    </row>
    <row r="253" spans="5:20" x14ac:dyDescent="0.25"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5"/>
      <c r="R253" s="5"/>
      <c r="S253" s="5"/>
      <c r="T253" s="5"/>
    </row>
    <row r="254" spans="5:20" x14ac:dyDescent="0.25"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5"/>
      <c r="R254" s="5"/>
      <c r="S254" s="5"/>
      <c r="T254" s="5"/>
    </row>
    <row r="255" spans="5:20" x14ac:dyDescent="0.25"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5"/>
      <c r="R255" s="5"/>
      <c r="S255" s="5"/>
      <c r="T255" s="5"/>
    </row>
    <row r="256" spans="5:20" x14ac:dyDescent="0.25"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5"/>
      <c r="R256" s="5"/>
      <c r="S256" s="5"/>
      <c r="T256" s="5"/>
    </row>
    <row r="257" spans="5:20" x14ac:dyDescent="0.25"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5"/>
      <c r="R257" s="5"/>
      <c r="S257" s="5"/>
      <c r="T257" s="5"/>
    </row>
    <row r="258" spans="5:20" x14ac:dyDescent="0.25"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5"/>
      <c r="R258" s="5"/>
      <c r="S258" s="5"/>
      <c r="T258" s="5"/>
    </row>
    <row r="259" spans="5:20" x14ac:dyDescent="0.25"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5"/>
      <c r="R259" s="5"/>
      <c r="S259" s="5"/>
      <c r="T259" s="5"/>
    </row>
    <row r="260" spans="5:20" x14ac:dyDescent="0.25"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5"/>
      <c r="R260" s="5"/>
      <c r="S260" s="5"/>
      <c r="T260" s="5"/>
    </row>
    <row r="261" spans="5:20" x14ac:dyDescent="0.25"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5"/>
      <c r="R261" s="5"/>
      <c r="S261" s="5"/>
      <c r="T261" s="5"/>
    </row>
    <row r="262" spans="5:20" x14ac:dyDescent="0.25"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5"/>
      <c r="R262" s="5"/>
      <c r="S262" s="5"/>
      <c r="T262" s="5"/>
    </row>
    <row r="263" spans="5:20" x14ac:dyDescent="0.25"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5"/>
      <c r="R263" s="5"/>
      <c r="S263" s="5"/>
      <c r="T263" s="5"/>
    </row>
    <row r="264" spans="5:20" x14ac:dyDescent="0.25"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5"/>
      <c r="R264" s="5"/>
      <c r="S264" s="5"/>
      <c r="T264" s="5"/>
    </row>
    <row r="265" spans="5:20" x14ac:dyDescent="0.25"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5"/>
      <c r="R265" s="5"/>
      <c r="S265" s="5"/>
      <c r="T265" s="5"/>
    </row>
    <row r="266" spans="5:20" x14ac:dyDescent="0.25"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5"/>
      <c r="R266" s="5"/>
      <c r="S266" s="5"/>
      <c r="T266" s="5"/>
    </row>
    <row r="267" spans="5:20" x14ac:dyDescent="0.25"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5"/>
      <c r="R267" s="5"/>
      <c r="S267" s="5"/>
      <c r="T267" s="5"/>
    </row>
    <row r="268" spans="5:20" x14ac:dyDescent="0.25"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5"/>
      <c r="R268" s="5"/>
      <c r="S268" s="5"/>
      <c r="T268" s="5"/>
    </row>
    <row r="269" spans="5:20" x14ac:dyDescent="0.25"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5"/>
      <c r="R269" s="5"/>
      <c r="S269" s="5"/>
      <c r="T269" s="5"/>
    </row>
    <row r="270" spans="5:20" x14ac:dyDescent="0.25"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5"/>
      <c r="R270" s="5"/>
      <c r="S270" s="5"/>
      <c r="T270" s="5"/>
    </row>
    <row r="271" spans="5:20" x14ac:dyDescent="0.25"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5"/>
      <c r="R271" s="5"/>
      <c r="S271" s="5"/>
      <c r="T271" s="5"/>
    </row>
    <row r="272" spans="5:20" x14ac:dyDescent="0.25"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5"/>
      <c r="R272" s="5"/>
      <c r="S272" s="5"/>
      <c r="T272" s="5"/>
    </row>
    <row r="273" spans="5:20" x14ac:dyDescent="0.25"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5"/>
      <c r="R273" s="5"/>
      <c r="S273" s="5"/>
      <c r="T273" s="5"/>
    </row>
    <row r="274" spans="5:20" x14ac:dyDescent="0.25"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5"/>
      <c r="R274" s="5"/>
      <c r="S274" s="5"/>
      <c r="T274" s="5"/>
    </row>
    <row r="275" spans="5:20" x14ac:dyDescent="0.25"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5"/>
      <c r="R275" s="5"/>
      <c r="S275" s="5"/>
      <c r="T275" s="5"/>
    </row>
    <row r="276" spans="5:20" x14ac:dyDescent="0.25"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5"/>
      <c r="R276" s="5"/>
      <c r="S276" s="5"/>
      <c r="T276" s="5"/>
    </row>
    <row r="277" spans="5:20" x14ac:dyDescent="0.25"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5"/>
      <c r="R277" s="5"/>
      <c r="S277" s="5"/>
      <c r="T277" s="5"/>
    </row>
    <row r="278" spans="5:20" x14ac:dyDescent="0.25"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5"/>
      <c r="R278" s="5"/>
      <c r="S278" s="5"/>
      <c r="T278" s="5"/>
    </row>
    <row r="279" spans="5:20" x14ac:dyDescent="0.25"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5"/>
      <c r="R279" s="5"/>
      <c r="S279" s="5"/>
      <c r="T279" s="5"/>
    </row>
    <row r="280" spans="5:20" x14ac:dyDescent="0.25"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5"/>
      <c r="R280" s="5"/>
      <c r="S280" s="5"/>
      <c r="T280" s="5"/>
    </row>
    <row r="281" spans="5:20" x14ac:dyDescent="0.25"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5"/>
      <c r="R281" s="5"/>
      <c r="S281" s="5"/>
      <c r="T281" s="5"/>
    </row>
    <row r="282" spans="5:20" x14ac:dyDescent="0.25"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5"/>
      <c r="R282" s="5"/>
      <c r="S282" s="5"/>
      <c r="T282" s="5"/>
    </row>
    <row r="283" spans="5:20" x14ac:dyDescent="0.25"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5"/>
      <c r="R283" s="5"/>
      <c r="S283" s="5"/>
      <c r="T283" s="5"/>
    </row>
    <row r="284" spans="5:20" x14ac:dyDescent="0.25"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5"/>
      <c r="R284" s="5"/>
      <c r="S284" s="5"/>
      <c r="T284" s="5"/>
    </row>
    <row r="285" spans="5:20" x14ac:dyDescent="0.25"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5"/>
      <c r="R285" s="5"/>
      <c r="S285" s="5"/>
      <c r="T285" s="5"/>
    </row>
    <row r="286" spans="5:20" x14ac:dyDescent="0.25"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5"/>
      <c r="R286" s="5"/>
      <c r="S286" s="5"/>
      <c r="T286" s="5"/>
    </row>
    <row r="287" spans="5:20" x14ac:dyDescent="0.25"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5"/>
      <c r="R287" s="5"/>
      <c r="S287" s="5"/>
      <c r="T287" s="5"/>
    </row>
    <row r="288" spans="5:20" x14ac:dyDescent="0.25"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5"/>
      <c r="R288" s="5"/>
      <c r="S288" s="5"/>
      <c r="T288" s="5"/>
    </row>
    <row r="289" spans="5:20" x14ac:dyDescent="0.25"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5"/>
      <c r="R289" s="5"/>
      <c r="S289" s="5"/>
      <c r="T289" s="5"/>
    </row>
    <row r="290" spans="5:20" x14ac:dyDescent="0.25"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5"/>
      <c r="R290" s="5"/>
      <c r="S290" s="5"/>
      <c r="T290" s="5"/>
    </row>
    <row r="291" spans="5:20" x14ac:dyDescent="0.25"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5"/>
      <c r="R291" s="5"/>
      <c r="S291" s="5"/>
      <c r="T291" s="5"/>
    </row>
    <row r="292" spans="5:20" x14ac:dyDescent="0.25"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5"/>
      <c r="R292" s="5"/>
      <c r="S292" s="5"/>
      <c r="T292" s="5"/>
    </row>
    <row r="293" spans="5:20" x14ac:dyDescent="0.25"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5"/>
      <c r="R293" s="5"/>
      <c r="S293" s="5"/>
      <c r="T293" s="5"/>
    </row>
    <row r="294" spans="5:20" x14ac:dyDescent="0.25"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5"/>
      <c r="R294" s="5"/>
      <c r="S294" s="5"/>
      <c r="T294" s="5"/>
    </row>
    <row r="295" spans="5:20" x14ac:dyDescent="0.25"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5"/>
      <c r="R295" s="5"/>
      <c r="S295" s="5"/>
      <c r="T295" s="5"/>
    </row>
    <row r="296" spans="5:20" x14ac:dyDescent="0.25"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5"/>
      <c r="R296" s="5"/>
      <c r="S296" s="5"/>
      <c r="T296" s="5"/>
    </row>
    <row r="297" spans="5:20" x14ac:dyDescent="0.25"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5"/>
      <c r="R297" s="5"/>
      <c r="S297" s="5"/>
      <c r="T297" s="5"/>
    </row>
    <row r="298" spans="5:20" x14ac:dyDescent="0.25"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5"/>
      <c r="R298" s="5"/>
      <c r="S298" s="5"/>
      <c r="T298" s="5"/>
    </row>
    <row r="299" spans="5:20" x14ac:dyDescent="0.25"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5"/>
      <c r="R299" s="5"/>
      <c r="S299" s="5"/>
      <c r="T299" s="5"/>
    </row>
    <row r="300" spans="5:20" x14ac:dyDescent="0.25"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5"/>
      <c r="R300" s="5"/>
      <c r="S300" s="5"/>
      <c r="T300" s="5"/>
    </row>
    <row r="301" spans="5:20" x14ac:dyDescent="0.25"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5"/>
      <c r="R301" s="5"/>
      <c r="S301" s="5"/>
      <c r="T301" s="5"/>
    </row>
    <row r="302" spans="5:20" x14ac:dyDescent="0.25"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5"/>
      <c r="R302" s="5"/>
      <c r="S302" s="5"/>
      <c r="T302" s="5"/>
    </row>
    <row r="303" spans="5:20" x14ac:dyDescent="0.25"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5"/>
      <c r="R303" s="5"/>
      <c r="S303" s="5"/>
      <c r="T303" s="5"/>
    </row>
    <row r="304" spans="5:20" x14ac:dyDescent="0.25"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5"/>
      <c r="R304" s="5"/>
      <c r="S304" s="5"/>
      <c r="T304" s="5"/>
    </row>
    <row r="305" spans="5:20" x14ac:dyDescent="0.25"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5"/>
      <c r="R305" s="5"/>
      <c r="S305" s="5"/>
      <c r="T305" s="5"/>
    </row>
    <row r="306" spans="5:20" x14ac:dyDescent="0.25"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5"/>
      <c r="R306" s="5"/>
      <c r="S306" s="5"/>
      <c r="T306" s="5"/>
    </row>
    <row r="307" spans="5:20" x14ac:dyDescent="0.25"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5"/>
      <c r="R307" s="5"/>
      <c r="S307" s="5"/>
      <c r="T307" s="5"/>
    </row>
    <row r="308" spans="5:20" x14ac:dyDescent="0.25"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5"/>
      <c r="R308" s="5"/>
      <c r="S308" s="5"/>
      <c r="T308" s="5"/>
    </row>
    <row r="309" spans="5:20" x14ac:dyDescent="0.25"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5"/>
      <c r="R309" s="5"/>
      <c r="S309" s="5"/>
      <c r="T309" s="5"/>
    </row>
    <row r="310" spans="5:20" x14ac:dyDescent="0.25"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5"/>
      <c r="R310" s="5"/>
      <c r="S310" s="5"/>
      <c r="T310" s="5"/>
    </row>
    <row r="311" spans="5:20" x14ac:dyDescent="0.25"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5"/>
      <c r="R311" s="5"/>
      <c r="S311" s="5"/>
      <c r="T311" s="5"/>
    </row>
    <row r="312" spans="5:20" x14ac:dyDescent="0.25"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5"/>
      <c r="R312" s="5"/>
      <c r="S312" s="5"/>
      <c r="T312" s="5"/>
    </row>
    <row r="313" spans="5:20" x14ac:dyDescent="0.25"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5"/>
      <c r="R313" s="5"/>
      <c r="S313" s="5"/>
      <c r="T313" s="5"/>
    </row>
    <row r="314" spans="5:20" x14ac:dyDescent="0.25"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5"/>
      <c r="R314" s="5"/>
      <c r="S314" s="5"/>
      <c r="T314" s="5"/>
    </row>
    <row r="315" spans="5:20" x14ac:dyDescent="0.25"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5"/>
      <c r="R315" s="5"/>
      <c r="S315" s="5"/>
      <c r="T315" s="5"/>
    </row>
    <row r="316" spans="5:20" x14ac:dyDescent="0.25"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5"/>
      <c r="R316" s="5"/>
      <c r="S316" s="5"/>
      <c r="T316" s="5"/>
    </row>
    <row r="317" spans="5:20" x14ac:dyDescent="0.25"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5"/>
      <c r="R317" s="5"/>
      <c r="S317" s="5"/>
      <c r="T317" s="5"/>
    </row>
    <row r="318" spans="5:20" x14ac:dyDescent="0.25"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5"/>
      <c r="R318" s="5"/>
      <c r="S318" s="5"/>
      <c r="T318" s="5"/>
    </row>
    <row r="319" spans="5:20" x14ac:dyDescent="0.25"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5"/>
      <c r="R319" s="5"/>
      <c r="S319" s="5"/>
      <c r="T319" s="5"/>
    </row>
    <row r="320" spans="5:20" x14ac:dyDescent="0.25"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5"/>
      <c r="R320" s="5"/>
      <c r="S320" s="5"/>
      <c r="T320" s="5"/>
    </row>
    <row r="321" spans="5:20" x14ac:dyDescent="0.25"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5"/>
      <c r="R321" s="5"/>
      <c r="S321" s="5"/>
      <c r="T321" s="5"/>
    </row>
    <row r="322" spans="5:20" x14ac:dyDescent="0.25"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5"/>
      <c r="R322" s="5"/>
      <c r="S322" s="5"/>
      <c r="T322" s="5"/>
    </row>
    <row r="323" spans="5:20" x14ac:dyDescent="0.25"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5"/>
      <c r="R323" s="5"/>
      <c r="S323" s="5"/>
      <c r="T323" s="5"/>
    </row>
    <row r="324" spans="5:20" x14ac:dyDescent="0.25"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5"/>
      <c r="R324" s="5"/>
      <c r="S324" s="5"/>
      <c r="T324" s="5"/>
    </row>
    <row r="325" spans="5:20" x14ac:dyDescent="0.25"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5"/>
      <c r="R325" s="5"/>
      <c r="S325" s="5"/>
      <c r="T325" s="5"/>
    </row>
    <row r="326" spans="5:20" x14ac:dyDescent="0.25"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5"/>
      <c r="R326" s="5"/>
      <c r="S326" s="5"/>
      <c r="T326" s="5"/>
    </row>
    <row r="327" spans="5:20" x14ac:dyDescent="0.25"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5"/>
      <c r="R327" s="5"/>
      <c r="S327" s="5"/>
      <c r="T327" s="5"/>
    </row>
    <row r="328" spans="5:20" x14ac:dyDescent="0.25"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5"/>
      <c r="R328" s="5"/>
      <c r="S328" s="5"/>
      <c r="T328" s="5"/>
    </row>
    <row r="329" spans="5:20" x14ac:dyDescent="0.25"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5"/>
      <c r="R329" s="5"/>
      <c r="S329" s="5"/>
      <c r="T329" s="5"/>
    </row>
    <row r="330" spans="5:20" x14ac:dyDescent="0.25"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5"/>
      <c r="R330" s="5"/>
      <c r="S330" s="5"/>
      <c r="T330" s="5"/>
    </row>
    <row r="331" spans="5:20" x14ac:dyDescent="0.25"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5"/>
      <c r="R331" s="5"/>
      <c r="S331" s="5"/>
      <c r="T331" s="5"/>
    </row>
    <row r="332" spans="5:20" x14ac:dyDescent="0.25"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5"/>
      <c r="R332" s="5"/>
      <c r="S332" s="5"/>
      <c r="T332" s="5"/>
    </row>
    <row r="333" spans="5:20" x14ac:dyDescent="0.25"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5"/>
      <c r="R333" s="5"/>
      <c r="S333" s="5"/>
      <c r="T333" s="5"/>
    </row>
    <row r="334" spans="5:20" x14ac:dyDescent="0.25"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5"/>
      <c r="R334" s="5"/>
      <c r="S334" s="5"/>
      <c r="T334" s="5"/>
    </row>
    <row r="335" spans="5:20" x14ac:dyDescent="0.25"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5"/>
      <c r="R335" s="5"/>
      <c r="S335" s="5"/>
      <c r="T335" s="5"/>
    </row>
    <row r="336" spans="5:20" x14ac:dyDescent="0.25"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5"/>
      <c r="R336" s="5"/>
      <c r="S336" s="5"/>
      <c r="T336" s="5"/>
    </row>
    <row r="337" spans="5:20" x14ac:dyDescent="0.25"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5"/>
      <c r="R337" s="5"/>
      <c r="S337" s="5"/>
      <c r="T337" s="5"/>
    </row>
    <row r="338" spans="5:20" x14ac:dyDescent="0.25"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5"/>
      <c r="R338" s="5"/>
      <c r="S338" s="5"/>
      <c r="T338" s="5"/>
    </row>
    <row r="339" spans="5:20" x14ac:dyDescent="0.25"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5"/>
      <c r="R339" s="5"/>
      <c r="S339" s="5"/>
      <c r="T339" s="5"/>
    </row>
    <row r="340" spans="5:20" x14ac:dyDescent="0.25"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5"/>
      <c r="R340" s="5"/>
      <c r="S340" s="5"/>
      <c r="T340" s="5"/>
    </row>
    <row r="341" spans="5:20" x14ac:dyDescent="0.25"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5"/>
      <c r="R341" s="5"/>
      <c r="S341" s="5"/>
      <c r="T341" s="5"/>
    </row>
    <row r="342" spans="5:20" x14ac:dyDescent="0.25"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5"/>
      <c r="R342" s="5"/>
      <c r="S342" s="5"/>
      <c r="T342" s="5"/>
    </row>
    <row r="343" spans="5:20" x14ac:dyDescent="0.25"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5"/>
      <c r="R343" s="5"/>
      <c r="S343" s="5"/>
      <c r="T343" s="5"/>
    </row>
    <row r="344" spans="5:20" x14ac:dyDescent="0.25"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5"/>
      <c r="R344" s="5"/>
      <c r="S344" s="5"/>
      <c r="T344" s="5"/>
    </row>
    <row r="345" spans="5:20" x14ac:dyDescent="0.25"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5"/>
      <c r="R345" s="5"/>
      <c r="S345" s="5"/>
      <c r="T345" s="5"/>
    </row>
    <row r="346" spans="5:20" x14ac:dyDescent="0.25"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5"/>
      <c r="R346" s="5"/>
      <c r="S346" s="5"/>
      <c r="T346" s="5"/>
    </row>
    <row r="347" spans="5:20" x14ac:dyDescent="0.25"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5"/>
      <c r="R347" s="5"/>
      <c r="S347" s="5"/>
      <c r="T347" s="5"/>
    </row>
    <row r="348" spans="5:20" x14ac:dyDescent="0.25"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5"/>
      <c r="R348" s="5"/>
      <c r="S348" s="5"/>
      <c r="T348" s="5"/>
    </row>
    <row r="349" spans="5:20" x14ac:dyDescent="0.25"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5"/>
      <c r="R349" s="5"/>
      <c r="S349" s="5"/>
      <c r="T349" s="5"/>
    </row>
    <row r="350" spans="5:20" x14ac:dyDescent="0.25"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5"/>
      <c r="R350" s="5"/>
      <c r="S350" s="5"/>
      <c r="T350" s="5"/>
    </row>
    <row r="351" spans="5:20" x14ac:dyDescent="0.25"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5"/>
      <c r="R351" s="5"/>
      <c r="S351" s="5"/>
      <c r="T351" s="5"/>
    </row>
    <row r="352" spans="5:20" x14ac:dyDescent="0.25"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5"/>
      <c r="R352" s="5"/>
      <c r="S352" s="5"/>
      <c r="T352" s="5"/>
    </row>
    <row r="353" spans="5:20" x14ac:dyDescent="0.25"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5"/>
      <c r="R353" s="5"/>
      <c r="S353" s="5"/>
      <c r="T353" s="5"/>
    </row>
    <row r="354" spans="5:20" x14ac:dyDescent="0.25"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5"/>
      <c r="R354" s="5"/>
      <c r="S354" s="5"/>
      <c r="T354" s="5"/>
    </row>
    <row r="355" spans="5:20" x14ac:dyDescent="0.25"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5"/>
      <c r="R355" s="5"/>
      <c r="S355" s="5"/>
      <c r="T355" s="5"/>
    </row>
    <row r="356" spans="5:20" x14ac:dyDescent="0.25"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5"/>
      <c r="R356" s="5"/>
      <c r="S356" s="5"/>
      <c r="T356" s="5"/>
    </row>
    <row r="357" spans="5:20" x14ac:dyDescent="0.25"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5"/>
      <c r="R357" s="5"/>
      <c r="S357" s="5"/>
      <c r="T357" s="5"/>
    </row>
    <row r="358" spans="5:20" x14ac:dyDescent="0.25"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5"/>
      <c r="R358" s="5"/>
      <c r="S358" s="5"/>
      <c r="T358" s="5"/>
    </row>
    <row r="359" spans="5:20" x14ac:dyDescent="0.25"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5"/>
      <c r="R359" s="5"/>
      <c r="S359" s="5"/>
      <c r="T359" s="5"/>
    </row>
    <row r="360" spans="5:20" x14ac:dyDescent="0.25"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5"/>
      <c r="R360" s="5"/>
      <c r="S360" s="5"/>
      <c r="T360" s="5"/>
    </row>
    <row r="361" spans="5:20" x14ac:dyDescent="0.25"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5"/>
      <c r="R361" s="5"/>
      <c r="S361" s="5"/>
      <c r="T361" s="5"/>
    </row>
    <row r="362" spans="5:20" x14ac:dyDescent="0.25"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5"/>
      <c r="R362" s="5"/>
      <c r="S362" s="5"/>
      <c r="T362" s="5"/>
    </row>
    <row r="363" spans="5:20" x14ac:dyDescent="0.25"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5"/>
      <c r="R363" s="5"/>
      <c r="S363" s="5"/>
      <c r="T363" s="5"/>
    </row>
    <row r="364" spans="5:20" x14ac:dyDescent="0.25"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5"/>
      <c r="R364" s="5"/>
      <c r="S364" s="5"/>
      <c r="T364" s="5"/>
    </row>
    <row r="365" spans="5:20" x14ac:dyDescent="0.25"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5"/>
      <c r="R365" s="5"/>
      <c r="S365" s="5"/>
      <c r="T365" s="5"/>
    </row>
    <row r="366" spans="5:20" x14ac:dyDescent="0.25"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5"/>
      <c r="R366" s="5"/>
      <c r="S366" s="5"/>
      <c r="T366" s="5"/>
    </row>
    <row r="367" spans="5:20" x14ac:dyDescent="0.25"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5"/>
      <c r="R367" s="5"/>
      <c r="S367" s="5"/>
      <c r="T367" s="5"/>
    </row>
    <row r="368" spans="5:20" x14ac:dyDescent="0.25"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5"/>
      <c r="R368" s="5"/>
      <c r="S368" s="5"/>
      <c r="T368" s="5"/>
    </row>
    <row r="369" spans="5:20" x14ac:dyDescent="0.25"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5"/>
      <c r="R369" s="5"/>
      <c r="S369" s="5"/>
      <c r="T369" s="5"/>
    </row>
    <row r="370" spans="5:20" x14ac:dyDescent="0.25"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5"/>
      <c r="R370" s="5"/>
      <c r="S370" s="5"/>
      <c r="T370" s="5"/>
    </row>
    <row r="371" spans="5:20" x14ac:dyDescent="0.25"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5"/>
      <c r="R371" s="5"/>
      <c r="S371" s="5"/>
      <c r="T371" s="5"/>
    </row>
    <row r="372" spans="5:20" x14ac:dyDescent="0.25"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5"/>
      <c r="R372" s="5"/>
      <c r="S372" s="5"/>
      <c r="T372" s="5"/>
    </row>
    <row r="373" spans="5:20" x14ac:dyDescent="0.25"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5"/>
      <c r="R373" s="5"/>
      <c r="S373" s="5"/>
      <c r="T373" s="5"/>
    </row>
    <row r="374" spans="5:20" x14ac:dyDescent="0.25"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5"/>
      <c r="R374" s="5"/>
      <c r="S374" s="5"/>
      <c r="T374" s="5"/>
    </row>
    <row r="375" spans="5:20" x14ac:dyDescent="0.25"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5"/>
      <c r="R375" s="5"/>
      <c r="S375" s="5"/>
      <c r="T375" s="5"/>
    </row>
    <row r="376" spans="5:20" x14ac:dyDescent="0.25"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5"/>
      <c r="R376" s="5"/>
      <c r="S376" s="5"/>
      <c r="T376" s="5"/>
    </row>
    <row r="377" spans="5:20" x14ac:dyDescent="0.25"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5"/>
      <c r="R377" s="5"/>
      <c r="S377" s="5"/>
      <c r="T377" s="5"/>
    </row>
    <row r="378" spans="5:20" x14ac:dyDescent="0.25"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5"/>
      <c r="R378" s="5"/>
      <c r="S378" s="5"/>
      <c r="T378" s="5"/>
    </row>
    <row r="379" spans="5:20" x14ac:dyDescent="0.25"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5"/>
      <c r="R379" s="5"/>
      <c r="S379" s="5"/>
      <c r="T379" s="5"/>
    </row>
    <row r="380" spans="5:20" x14ac:dyDescent="0.25"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5"/>
      <c r="R380" s="5"/>
      <c r="S380" s="5"/>
      <c r="T380" s="5"/>
    </row>
    <row r="381" spans="5:20" x14ac:dyDescent="0.25"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5"/>
      <c r="R381" s="5"/>
      <c r="S381" s="5"/>
      <c r="T381" s="5"/>
    </row>
    <row r="382" spans="5:20" x14ac:dyDescent="0.25"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5"/>
      <c r="R382" s="5"/>
      <c r="S382" s="5"/>
      <c r="T382" s="5"/>
    </row>
    <row r="383" spans="5:20" x14ac:dyDescent="0.25"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5"/>
      <c r="R383" s="5"/>
      <c r="S383" s="5"/>
      <c r="T383" s="5"/>
    </row>
    <row r="384" spans="5:20" x14ac:dyDescent="0.25"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5"/>
      <c r="R384" s="5"/>
      <c r="S384" s="5"/>
      <c r="T384" s="5"/>
    </row>
    <row r="385" spans="5:20" x14ac:dyDescent="0.25"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5"/>
      <c r="R385" s="5"/>
      <c r="S385" s="5"/>
      <c r="T385" s="5"/>
    </row>
    <row r="386" spans="5:20" x14ac:dyDescent="0.25"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5"/>
      <c r="R386" s="5"/>
      <c r="S386" s="5"/>
      <c r="T386" s="5"/>
    </row>
    <row r="387" spans="5:20" x14ac:dyDescent="0.25"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5"/>
      <c r="R387" s="5"/>
      <c r="S387" s="5"/>
      <c r="T387" s="5"/>
    </row>
    <row r="388" spans="5:20" x14ac:dyDescent="0.25"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5"/>
      <c r="R388" s="5"/>
      <c r="S388" s="5"/>
      <c r="T388" s="5"/>
    </row>
    <row r="389" spans="5:20" x14ac:dyDescent="0.25"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5"/>
      <c r="R389" s="5"/>
      <c r="S389" s="5"/>
      <c r="T389" s="5"/>
    </row>
    <row r="390" spans="5:20" x14ac:dyDescent="0.25"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5"/>
      <c r="R390" s="5"/>
      <c r="S390" s="5"/>
      <c r="T390" s="5"/>
    </row>
    <row r="391" spans="5:20" x14ac:dyDescent="0.25"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5"/>
      <c r="R391" s="5"/>
      <c r="S391" s="5"/>
      <c r="T391" s="5"/>
    </row>
    <row r="392" spans="5:20" x14ac:dyDescent="0.25"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5"/>
      <c r="R392" s="5"/>
      <c r="S392" s="5"/>
      <c r="T392" s="5"/>
    </row>
    <row r="393" spans="5:20" x14ac:dyDescent="0.25"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5"/>
      <c r="R393" s="5"/>
      <c r="S393" s="5"/>
      <c r="T393" s="5"/>
    </row>
    <row r="394" spans="5:20" x14ac:dyDescent="0.25"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5"/>
      <c r="R394" s="5"/>
      <c r="S394" s="5"/>
      <c r="T394" s="5"/>
    </row>
    <row r="395" spans="5:20" x14ac:dyDescent="0.25"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5"/>
      <c r="R395" s="5"/>
      <c r="S395" s="5"/>
      <c r="T395" s="5"/>
    </row>
    <row r="396" spans="5:20" x14ac:dyDescent="0.25"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5"/>
      <c r="R396" s="5"/>
      <c r="S396" s="5"/>
      <c r="T396" s="5"/>
    </row>
    <row r="397" spans="5:20" x14ac:dyDescent="0.25"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5"/>
      <c r="R397" s="5"/>
      <c r="S397" s="5"/>
      <c r="T397" s="5"/>
    </row>
    <row r="398" spans="5:20" x14ac:dyDescent="0.25"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5"/>
      <c r="R398" s="5"/>
      <c r="S398" s="5"/>
      <c r="T398" s="5"/>
    </row>
    <row r="399" spans="5:20" x14ac:dyDescent="0.25"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5"/>
      <c r="R399" s="5"/>
      <c r="S399" s="5"/>
      <c r="T399" s="5"/>
    </row>
    <row r="400" spans="5:20" x14ac:dyDescent="0.25"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5"/>
      <c r="R400" s="5"/>
      <c r="S400" s="5"/>
      <c r="T400" s="5"/>
    </row>
    <row r="401" spans="5:20" x14ac:dyDescent="0.25"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5"/>
      <c r="R401" s="5"/>
      <c r="S401" s="5"/>
      <c r="T401" s="5"/>
    </row>
    <row r="402" spans="5:20" x14ac:dyDescent="0.25"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5"/>
      <c r="R402" s="5"/>
      <c r="S402" s="5"/>
      <c r="T402" s="5"/>
    </row>
    <row r="403" spans="5:20" x14ac:dyDescent="0.25"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5"/>
      <c r="R403" s="5"/>
      <c r="S403" s="5"/>
      <c r="T403" s="5"/>
    </row>
    <row r="404" spans="5:20" x14ac:dyDescent="0.25"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5"/>
      <c r="R404" s="5"/>
      <c r="S404" s="5"/>
      <c r="T404" s="5"/>
    </row>
    <row r="405" spans="5:20" x14ac:dyDescent="0.25"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5"/>
      <c r="R405" s="5"/>
      <c r="S405" s="5"/>
      <c r="T405" s="5"/>
    </row>
    <row r="406" spans="5:20" x14ac:dyDescent="0.25"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5"/>
      <c r="R406" s="5"/>
      <c r="S406" s="5"/>
      <c r="T406" s="5"/>
    </row>
    <row r="407" spans="5:20" x14ac:dyDescent="0.25"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5"/>
      <c r="R407" s="5"/>
      <c r="S407" s="5"/>
      <c r="T407" s="5"/>
    </row>
    <row r="408" spans="5:20" x14ac:dyDescent="0.25"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5"/>
      <c r="R408" s="5"/>
      <c r="S408" s="5"/>
      <c r="T408" s="5"/>
    </row>
    <row r="409" spans="5:20" x14ac:dyDescent="0.25"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5"/>
      <c r="R409" s="5"/>
      <c r="S409" s="5"/>
      <c r="T409" s="5"/>
    </row>
    <row r="410" spans="5:20" x14ac:dyDescent="0.25"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5"/>
      <c r="R410" s="5"/>
      <c r="S410" s="5"/>
      <c r="T410" s="5"/>
    </row>
    <row r="411" spans="5:20" x14ac:dyDescent="0.25"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5"/>
      <c r="R411" s="5"/>
      <c r="S411" s="5"/>
      <c r="T411" s="5"/>
    </row>
    <row r="412" spans="5:20" x14ac:dyDescent="0.25"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5"/>
      <c r="R412" s="5"/>
      <c r="S412" s="5"/>
      <c r="T412" s="5"/>
    </row>
    <row r="413" spans="5:20" x14ac:dyDescent="0.25"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5"/>
      <c r="R413" s="5"/>
      <c r="S413" s="5"/>
      <c r="T413" s="5"/>
    </row>
    <row r="414" spans="5:20" x14ac:dyDescent="0.25"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5"/>
      <c r="R414" s="5"/>
      <c r="S414" s="5"/>
      <c r="T414" s="5"/>
    </row>
    <row r="415" spans="5:20" x14ac:dyDescent="0.25"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5"/>
      <c r="R415" s="5"/>
      <c r="S415" s="5"/>
      <c r="T415" s="5"/>
    </row>
    <row r="416" spans="5:20" x14ac:dyDescent="0.25"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5"/>
      <c r="R416" s="5"/>
      <c r="S416" s="5"/>
      <c r="T416" s="5"/>
    </row>
    <row r="417" spans="5:20" x14ac:dyDescent="0.25"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5"/>
      <c r="R417" s="5"/>
      <c r="S417" s="5"/>
      <c r="T417" s="5"/>
    </row>
    <row r="418" spans="5:20" x14ac:dyDescent="0.25"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5"/>
      <c r="R418" s="5"/>
      <c r="S418" s="5"/>
      <c r="T418" s="5"/>
    </row>
    <row r="419" spans="5:20" x14ac:dyDescent="0.25"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5"/>
      <c r="R419" s="5"/>
      <c r="S419" s="5"/>
      <c r="T419" s="5"/>
    </row>
    <row r="420" spans="5:20" x14ac:dyDescent="0.25"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5"/>
      <c r="R420" s="5"/>
      <c r="S420" s="5"/>
      <c r="T420" s="5"/>
    </row>
    <row r="421" spans="5:20" x14ac:dyDescent="0.25"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5"/>
      <c r="R421" s="5"/>
      <c r="S421" s="5"/>
      <c r="T421" s="5"/>
    </row>
    <row r="422" spans="5:20" x14ac:dyDescent="0.25"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5"/>
      <c r="R422" s="5"/>
      <c r="S422" s="5"/>
      <c r="T422" s="5"/>
    </row>
    <row r="423" spans="5:20" x14ac:dyDescent="0.25"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5"/>
      <c r="R423" s="5"/>
      <c r="S423" s="5"/>
      <c r="T423" s="5"/>
    </row>
    <row r="424" spans="5:20" x14ac:dyDescent="0.25"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5"/>
      <c r="R424" s="5"/>
      <c r="S424" s="5"/>
      <c r="T424" s="5"/>
    </row>
    <row r="425" spans="5:20" x14ac:dyDescent="0.25"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5"/>
      <c r="R425" s="5"/>
      <c r="S425" s="5"/>
      <c r="T425" s="5"/>
    </row>
    <row r="426" spans="5:20" x14ac:dyDescent="0.25"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5"/>
      <c r="R426" s="5"/>
      <c r="S426" s="5"/>
      <c r="T426" s="5"/>
    </row>
    <row r="427" spans="5:20" x14ac:dyDescent="0.25"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5"/>
      <c r="R427" s="5"/>
      <c r="S427" s="5"/>
      <c r="T427" s="5"/>
    </row>
    <row r="428" spans="5:20" x14ac:dyDescent="0.25"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5"/>
      <c r="R428" s="5"/>
      <c r="S428" s="5"/>
      <c r="T428" s="5"/>
    </row>
    <row r="429" spans="5:20" x14ac:dyDescent="0.25"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5"/>
      <c r="R429" s="5"/>
      <c r="S429" s="5"/>
      <c r="T429" s="5"/>
    </row>
    <row r="430" spans="5:20" x14ac:dyDescent="0.25"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5"/>
      <c r="R430" s="5"/>
      <c r="S430" s="5"/>
      <c r="T430" s="5"/>
    </row>
    <row r="431" spans="5:20" x14ac:dyDescent="0.25"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5"/>
      <c r="R431" s="5"/>
      <c r="S431" s="5"/>
      <c r="T431" s="5"/>
    </row>
    <row r="432" spans="5:20" x14ac:dyDescent="0.25"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5"/>
      <c r="R432" s="5"/>
      <c r="S432" s="5"/>
      <c r="T432" s="5"/>
    </row>
    <row r="433" spans="5:20" x14ac:dyDescent="0.25"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5"/>
      <c r="R433" s="5"/>
      <c r="S433" s="5"/>
      <c r="T433" s="5"/>
    </row>
    <row r="434" spans="5:20" x14ac:dyDescent="0.25"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5"/>
      <c r="R434" s="5"/>
      <c r="S434" s="5"/>
      <c r="T434" s="5"/>
    </row>
    <row r="435" spans="5:20" x14ac:dyDescent="0.25"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5"/>
      <c r="R435" s="5"/>
      <c r="S435" s="5"/>
      <c r="T435" s="5"/>
    </row>
    <row r="436" spans="5:20" x14ac:dyDescent="0.25"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5"/>
      <c r="R436" s="5"/>
      <c r="S436" s="5"/>
      <c r="T436" s="5"/>
    </row>
    <row r="437" spans="5:20" x14ac:dyDescent="0.25"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5"/>
      <c r="R437" s="5"/>
      <c r="S437" s="5"/>
      <c r="T437" s="5"/>
    </row>
    <row r="438" spans="5:20" x14ac:dyDescent="0.25"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5"/>
      <c r="R438" s="5"/>
      <c r="S438" s="5"/>
      <c r="T438" s="5"/>
    </row>
    <row r="439" spans="5:20" x14ac:dyDescent="0.25"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5"/>
      <c r="R439" s="5"/>
      <c r="S439" s="5"/>
      <c r="T439" s="5"/>
    </row>
    <row r="440" spans="5:20" x14ac:dyDescent="0.25"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5"/>
      <c r="R440" s="5"/>
      <c r="S440" s="5"/>
      <c r="T440" s="5"/>
    </row>
    <row r="441" spans="5:20" x14ac:dyDescent="0.25"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5"/>
      <c r="R441" s="5"/>
      <c r="S441" s="5"/>
      <c r="T441" s="5"/>
    </row>
    <row r="442" spans="5:20" x14ac:dyDescent="0.25"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5"/>
      <c r="R442" s="5"/>
      <c r="S442" s="5"/>
      <c r="T442" s="5"/>
    </row>
    <row r="443" spans="5:20" x14ac:dyDescent="0.25"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5"/>
      <c r="R443" s="5"/>
      <c r="S443" s="5"/>
      <c r="T443" s="5"/>
    </row>
    <row r="444" spans="5:20" x14ac:dyDescent="0.25"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5"/>
      <c r="R444" s="5"/>
      <c r="S444" s="5"/>
      <c r="T444" s="5"/>
    </row>
    <row r="445" spans="5:20" x14ac:dyDescent="0.25"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5"/>
      <c r="R445" s="5"/>
      <c r="S445" s="5"/>
      <c r="T445" s="5"/>
    </row>
    <row r="446" spans="5:20" x14ac:dyDescent="0.25"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5"/>
      <c r="R446" s="5"/>
      <c r="S446" s="5"/>
      <c r="T446" s="5"/>
    </row>
    <row r="447" spans="5:20" x14ac:dyDescent="0.25"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5"/>
      <c r="R447" s="5"/>
      <c r="S447" s="5"/>
      <c r="T447" s="5"/>
    </row>
    <row r="448" spans="5:20" x14ac:dyDescent="0.25"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5"/>
      <c r="R448" s="5"/>
      <c r="S448" s="5"/>
      <c r="T448" s="5"/>
    </row>
    <row r="449" spans="5:20" x14ac:dyDescent="0.25"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5"/>
      <c r="R449" s="5"/>
      <c r="S449" s="5"/>
      <c r="T449" s="5"/>
    </row>
    <row r="450" spans="5:20" x14ac:dyDescent="0.25"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5"/>
      <c r="R450" s="5"/>
      <c r="S450" s="5"/>
      <c r="T450" s="5"/>
    </row>
    <row r="451" spans="5:20" x14ac:dyDescent="0.25"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5"/>
      <c r="R451" s="5"/>
      <c r="S451" s="5"/>
      <c r="T451" s="5"/>
    </row>
    <row r="452" spans="5:20" x14ac:dyDescent="0.25"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5"/>
      <c r="R452" s="5"/>
      <c r="S452" s="5"/>
      <c r="T452" s="5"/>
    </row>
    <row r="453" spans="5:20" x14ac:dyDescent="0.25"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5"/>
      <c r="R453" s="5"/>
      <c r="S453" s="5"/>
      <c r="T453" s="5"/>
    </row>
    <row r="454" spans="5:20" x14ac:dyDescent="0.25"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5"/>
      <c r="R454" s="5"/>
      <c r="S454" s="5"/>
      <c r="T454" s="5"/>
    </row>
    <row r="455" spans="5:20" x14ac:dyDescent="0.25"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5"/>
      <c r="R455" s="5"/>
      <c r="S455" s="5"/>
      <c r="T455" s="5"/>
    </row>
    <row r="456" spans="5:20" x14ac:dyDescent="0.25"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5"/>
      <c r="R456" s="5"/>
      <c r="S456" s="5"/>
      <c r="T456" s="5"/>
    </row>
    <row r="457" spans="5:20" x14ac:dyDescent="0.25"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5"/>
      <c r="R457" s="5"/>
      <c r="S457" s="5"/>
      <c r="T457" s="5"/>
    </row>
    <row r="458" spans="5:20" x14ac:dyDescent="0.25"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5"/>
      <c r="R458" s="5"/>
      <c r="S458" s="5"/>
      <c r="T458" s="5"/>
    </row>
    <row r="459" spans="5:20" x14ac:dyDescent="0.25"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5"/>
      <c r="R459" s="5"/>
      <c r="S459" s="5"/>
      <c r="T459" s="5"/>
    </row>
    <row r="460" spans="5:20" x14ac:dyDescent="0.25"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5"/>
      <c r="R460" s="5"/>
      <c r="S460" s="5"/>
      <c r="T460" s="5"/>
    </row>
    <row r="461" spans="5:20" x14ac:dyDescent="0.25"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5"/>
      <c r="R461" s="5"/>
      <c r="S461" s="5"/>
      <c r="T461" s="5"/>
    </row>
    <row r="462" spans="5:20" x14ac:dyDescent="0.25"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5"/>
      <c r="R462" s="5"/>
      <c r="S462" s="5"/>
      <c r="T462" s="5"/>
    </row>
    <row r="463" spans="5:20" x14ac:dyDescent="0.25"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5"/>
      <c r="R463" s="5"/>
      <c r="S463" s="5"/>
      <c r="T463" s="5"/>
    </row>
    <row r="464" spans="5:20" x14ac:dyDescent="0.25"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5"/>
      <c r="R464" s="5"/>
      <c r="S464" s="5"/>
      <c r="T464" s="5"/>
    </row>
    <row r="465" spans="5:20" x14ac:dyDescent="0.25"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5"/>
      <c r="R465" s="5"/>
      <c r="S465" s="5"/>
      <c r="T465" s="5"/>
    </row>
    <row r="466" spans="5:20" x14ac:dyDescent="0.25"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5"/>
      <c r="R466" s="5"/>
      <c r="S466" s="5"/>
      <c r="T466" s="5"/>
    </row>
    <row r="467" spans="5:20" x14ac:dyDescent="0.25"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5"/>
      <c r="R467" s="5"/>
      <c r="S467" s="5"/>
      <c r="T467" s="5"/>
    </row>
    <row r="468" spans="5:20" x14ac:dyDescent="0.25"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5"/>
      <c r="R468" s="5"/>
      <c r="S468" s="5"/>
      <c r="T468" s="5"/>
    </row>
    <row r="469" spans="5:20" x14ac:dyDescent="0.25"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5"/>
      <c r="R469" s="5"/>
      <c r="S469" s="5"/>
      <c r="T469" s="5"/>
    </row>
    <row r="470" spans="5:20" x14ac:dyDescent="0.25"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5"/>
      <c r="R470" s="5"/>
      <c r="S470" s="5"/>
      <c r="T470" s="5"/>
    </row>
    <row r="471" spans="5:20" x14ac:dyDescent="0.25"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5"/>
      <c r="R471" s="5"/>
      <c r="S471" s="5"/>
      <c r="T471" s="5"/>
    </row>
    <row r="472" spans="5:20" x14ac:dyDescent="0.25"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5"/>
      <c r="R472" s="5"/>
      <c r="S472" s="5"/>
      <c r="T472" s="5"/>
    </row>
    <row r="473" spans="5:20" x14ac:dyDescent="0.25"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5"/>
      <c r="R473" s="5"/>
      <c r="S473" s="5"/>
      <c r="T473" s="5"/>
    </row>
    <row r="474" spans="5:20" x14ac:dyDescent="0.25"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5"/>
      <c r="R474" s="5"/>
      <c r="S474" s="5"/>
      <c r="T474" s="5"/>
    </row>
    <row r="475" spans="5:20" x14ac:dyDescent="0.25"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5"/>
      <c r="R475" s="5"/>
      <c r="S475" s="5"/>
      <c r="T475" s="5"/>
    </row>
    <row r="476" spans="5:20" x14ac:dyDescent="0.25"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5"/>
      <c r="R476" s="5"/>
      <c r="S476" s="5"/>
      <c r="T476" s="5"/>
    </row>
    <row r="477" spans="5:20" x14ac:dyDescent="0.25"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5"/>
      <c r="R477" s="5"/>
      <c r="S477" s="5"/>
      <c r="T477" s="5"/>
    </row>
    <row r="478" spans="5:20" x14ac:dyDescent="0.25"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5"/>
      <c r="R478" s="5"/>
      <c r="S478" s="5"/>
      <c r="T478" s="5"/>
    </row>
    <row r="479" spans="5:20" x14ac:dyDescent="0.25"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5"/>
      <c r="R479" s="5"/>
      <c r="S479" s="5"/>
      <c r="T479" s="5"/>
    </row>
    <row r="480" spans="5:20" x14ac:dyDescent="0.25"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5"/>
      <c r="R480" s="5"/>
      <c r="S480" s="5"/>
      <c r="T480" s="5"/>
    </row>
    <row r="481" spans="5:20" x14ac:dyDescent="0.25"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5"/>
      <c r="R481" s="5"/>
      <c r="S481" s="5"/>
      <c r="T481" s="5"/>
    </row>
    <row r="482" spans="5:20" x14ac:dyDescent="0.25"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5"/>
      <c r="R482" s="5"/>
      <c r="S482" s="5"/>
      <c r="T482" s="5"/>
    </row>
    <row r="483" spans="5:20" x14ac:dyDescent="0.25"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5"/>
      <c r="R483" s="5"/>
      <c r="S483" s="5"/>
      <c r="T483" s="5"/>
    </row>
    <row r="484" spans="5:20" x14ac:dyDescent="0.25"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5"/>
      <c r="R484" s="5"/>
      <c r="S484" s="5"/>
      <c r="T484" s="5"/>
    </row>
    <row r="485" spans="5:20" x14ac:dyDescent="0.25"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5"/>
      <c r="R485" s="5"/>
      <c r="S485" s="5"/>
      <c r="T485" s="5"/>
    </row>
    <row r="486" spans="5:20" x14ac:dyDescent="0.25"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5"/>
      <c r="R486" s="5"/>
      <c r="S486" s="5"/>
      <c r="T486" s="5"/>
    </row>
    <row r="487" spans="5:20" x14ac:dyDescent="0.25"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5"/>
      <c r="R487" s="5"/>
      <c r="S487" s="5"/>
      <c r="T487" s="5"/>
    </row>
    <row r="488" spans="5:20" x14ac:dyDescent="0.25"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5"/>
      <c r="R488" s="5"/>
      <c r="S488" s="5"/>
      <c r="T488" s="5"/>
    </row>
    <row r="489" spans="5:20" x14ac:dyDescent="0.25"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5"/>
      <c r="R489" s="5"/>
      <c r="S489" s="5"/>
      <c r="T489" s="5"/>
    </row>
    <row r="490" spans="5:20" x14ac:dyDescent="0.25"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5"/>
      <c r="R490" s="5"/>
      <c r="S490" s="5"/>
      <c r="T490" s="5"/>
    </row>
    <row r="491" spans="5:20" x14ac:dyDescent="0.25"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5"/>
      <c r="R491" s="5"/>
      <c r="S491" s="5"/>
      <c r="T491" s="5"/>
    </row>
    <row r="492" spans="5:20" x14ac:dyDescent="0.25"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5"/>
      <c r="R492" s="5"/>
      <c r="S492" s="5"/>
      <c r="T492" s="5"/>
    </row>
    <row r="493" spans="5:20" x14ac:dyDescent="0.25"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5"/>
      <c r="R493" s="5"/>
      <c r="S493" s="5"/>
      <c r="T493" s="5"/>
    </row>
    <row r="494" spans="5:20" x14ac:dyDescent="0.25"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5"/>
      <c r="R494" s="5"/>
      <c r="S494" s="5"/>
      <c r="T494" s="5"/>
    </row>
    <row r="495" spans="5:20" x14ac:dyDescent="0.25"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5"/>
      <c r="R495" s="5"/>
      <c r="S495" s="5"/>
      <c r="T495" s="5"/>
    </row>
    <row r="496" spans="5:20" x14ac:dyDescent="0.25"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5"/>
      <c r="R496" s="5"/>
      <c r="S496" s="5"/>
      <c r="T496" s="5"/>
    </row>
    <row r="497" spans="5:20" x14ac:dyDescent="0.25"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5"/>
      <c r="R497" s="5"/>
      <c r="S497" s="5"/>
      <c r="T497" s="5"/>
    </row>
    <row r="498" spans="5:20" x14ac:dyDescent="0.25"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5"/>
      <c r="R498" s="5"/>
      <c r="S498" s="5"/>
      <c r="T498" s="5"/>
    </row>
    <row r="499" spans="5:20" x14ac:dyDescent="0.25"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5"/>
      <c r="R499" s="5"/>
      <c r="S499" s="5"/>
      <c r="T499" s="5"/>
    </row>
    <row r="500" spans="5:20" x14ac:dyDescent="0.25"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5"/>
      <c r="R500" s="5"/>
      <c r="S500" s="5"/>
      <c r="T500" s="5"/>
    </row>
    <row r="501" spans="5:20" x14ac:dyDescent="0.25"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5"/>
      <c r="R501" s="5"/>
      <c r="S501" s="5"/>
      <c r="T501" s="5"/>
    </row>
    <row r="502" spans="5:20" x14ac:dyDescent="0.25"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5"/>
      <c r="R502" s="5"/>
      <c r="S502" s="5"/>
      <c r="T502" s="5"/>
    </row>
    <row r="503" spans="5:20" x14ac:dyDescent="0.25"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5"/>
      <c r="R503" s="5"/>
      <c r="S503" s="5"/>
      <c r="T503" s="5"/>
    </row>
    <row r="504" spans="5:20" x14ac:dyDescent="0.25"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5"/>
      <c r="R504" s="5"/>
      <c r="S504" s="5"/>
      <c r="T504" s="5"/>
    </row>
    <row r="505" spans="5:20" x14ac:dyDescent="0.25"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5"/>
      <c r="R505" s="5"/>
      <c r="S505" s="5"/>
      <c r="T505" s="5"/>
    </row>
    <row r="506" spans="5:20" x14ac:dyDescent="0.25"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5"/>
      <c r="R506" s="5"/>
      <c r="S506" s="5"/>
      <c r="T506" s="5"/>
    </row>
    <row r="507" spans="5:20" x14ac:dyDescent="0.25"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5"/>
      <c r="R507" s="5"/>
      <c r="S507" s="5"/>
      <c r="T507" s="5"/>
    </row>
    <row r="508" spans="5:20" x14ac:dyDescent="0.25"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5"/>
      <c r="R508" s="5"/>
      <c r="S508" s="5"/>
      <c r="T508" s="5"/>
    </row>
    <row r="509" spans="5:20" x14ac:dyDescent="0.25"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5"/>
      <c r="R509" s="5"/>
      <c r="S509" s="5"/>
      <c r="T509" s="5"/>
    </row>
    <row r="510" spans="5:20" x14ac:dyDescent="0.25"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5"/>
      <c r="R510" s="5"/>
      <c r="S510" s="5"/>
      <c r="T510" s="5"/>
    </row>
    <row r="511" spans="5:20" x14ac:dyDescent="0.25"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5"/>
      <c r="R511" s="5"/>
      <c r="S511" s="5"/>
      <c r="T511" s="5"/>
    </row>
    <row r="512" spans="5:20" x14ac:dyDescent="0.25"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5"/>
      <c r="R512" s="5"/>
      <c r="S512" s="5"/>
      <c r="T512" s="5"/>
    </row>
    <row r="513" spans="5:20" x14ac:dyDescent="0.25"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5"/>
      <c r="R513" s="5"/>
      <c r="S513" s="5"/>
      <c r="T513" s="5"/>
    </row>
    <row r="514" spans="5:20" x14ac:dyDescent="0.25"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5"/>
      <c r="R514" s="5"/>
      <c r="S514" s="5"/>
      <c r="T514" s="5"/>
    </row>
    <row r="515" spans="5:20" x14ac:dyDescent="0.25"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5"/>
      <c r="R515" s="5"/>
      <c r="S515" s="5"/>
      <c r="T515" s="5"/>
    </row>
    <row r="516" spans="5:20" x14ac:dyDescent="0.25"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5"/>
      <c r="R516" s="5"/>
      <c r="S516" s="5"/>
      <c r="T516" s="5"/>
    </row>
    <row r="517" spans="5:20" x14ac:dyDescent="0.25"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5"/>
      <c r="R517" s="5"/>
      <c r="S517" s="5"/>
      <c r="T517" s="5"/>
    </row>
    <row r="518" spans="5:20" x14ac:dyDescent="0.25"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5"/>
      <c r="R518" s="5"/>
      <c r="S518" s="5"/>
      <c r="T518" s="5"/>
    </row>
    <row r="519" spans="5:20" x14ac:dyDescent="0.25"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5"/>
      <c r="R519" s="5"/>
      <c r="S519" s="5"/>
      <c r="T519" s="5"/>
    </row>
    <row r="520" spans="5:20" x14ac:dyDescent="0.25"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5"/>
      <c r="R520" s="5"/>
      <c r="S520" s="5"/>
      <c r="T520" s="5"/>
    </row>
    <row r="521" spans="5:20" x14ac:dyDescent="0.25"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5"/>
      <c r="R521" s="5"/>
      <c r="S521" s="5"/>
      <c r="T521" s="5"/>
    </row>
    <row r="522" spans="5:20" x14ac:dyDescent="0.25"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5"/>
      <c r="R522" s="5"/>
      <c r="S522" s="5"/>
      <c r="T522" s="5"/>
    </row>
    <row r="523" spans="5:20" x14ac:dyDescent="0.25"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5"/>
      <c r="R523" s="5"/>
      <c r="S523" s="5"/>
      <c r="T523" s="5"/>
    </row>
    <row r="524" spans="5:20" x14ac:dyDescent="0.25"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5"/>
      <c r="R524" s="5"/>
      <c r="S524" s="5"/>
      <c r="T524" s="5"/>
    </row>
    <row r="525" spans="5:20" x14ac:dyDescent="0.25"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5"/>
      <c r="R525" s="5"/>
      <c r="S525" s="5"/>
      <c r="T525" s="5"/>
    </row>
    <row r="526" spans="5:20" x14ac:dyDescent="0.25"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5"/>
      <c r="R526" s="5"/>
      <c r="S526" s="5"/>
      <c r="T526" s="5"/>
    </row>
    <row r="527" spans="5:20" x14ac:dyDescent="0.25"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5"/>
      <c r="R527" s="5"/>
      <c r="S527" s="5"/>
      <c r="T527" s="5"/>
    </row>
    <row r="528" spans="5:20" x14ac:dyDescent="0.25"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5"/>
      <c r="R528" s="5"/>
      <c r="S528" s="5"/>
      <c r="T528" s="5"/>
    </row>
    <row r="529" spans="5:20" x14ac:dyDescent="0.25"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5"/>
      <c r="R529" s="5"/>
      <c r="S529" s="5"/>
      <c r="T529" s="5"/>
    </row>
    <row r="530" spans="5:20" x14ac:dyDescent="0.25"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5"/>
      <c r="R530" s="5"/>
      <c r="S530" s="5"/>
      <c r="T530" s="5"/>
    </row>
    <row r="531" spans="5:20" x14ac:dyDescent="0.25"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5"/>
      <c r="R531" s="5"/>
      <c r="S531" s="5"/>
      <c r="T531" s="5"/>
    </row>
    <row r="532" spans="5:20" x14ac:dyDescent="0.25"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5"/>
      <c r="R532" s="5"/>
      <c r="S532" s="5"/>
      <c r="T532" s="5"/>
    </row>
    <row r="533" spans="5:20" x14ac:dyDescent="0.25"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5"/>
      <c r="R533" s="5"/>
      <c r="S533" s="5"/>
      <c r="T533" s="5"/>
    </row>
    <row r="534" spans="5:20" x14ac:dyDescent="0.25"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5"/>
      <c r="R534" s="5"/>
      <c r="S534" s="5"/>
      <c r="T534" s="5"/>
    </row>
    <row r="535" spans="5:20" x14ac:dyDescent="0.25"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5"/>
      <c r="R535" s="5"/>
      <c r="S535" s="5"/>
      <c r="T535" s="5"/>
    </row>
    <row r="536" spans="5:20" x14ac:dyDescent="0.25"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5"/>
      <c r="R536" s="5"/>
      <c r="S536" s="5"/>
      <c r="T536" s="5"/>
    </row>
    <row r="537" spans="5:20" x14ac:dyDescent="0.25"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5"/>
      <c r="R537" s="5"/>
      <c r="S537" s="5"/>
      <c r="T537" s="5"/>
    </row>
    <row r="538" spans="5:20" x14ac:dyDescent="0.25"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5"/>
      <c r="R538" s="5"/>
      <c r="S538" s="5"/>
      <c r="T538" s="5"/>
    </row>
    <row r="539" spans="5:20" x14ac:dyDescent="0.25"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5"/>
      <c r="R539" s="5"/>
      <c r="S539" s="5"/>
      <c r="T539" s="5"/>
    </row>
    <row r="540" spans="5:20" x14ac:dyDescent="0.25"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5"/>
      <c r="R540" s="5"/>
      <c r="S540" s="5"/>
      <c r="T540" s="5"/>
    </row>
    <row r="541" spans="5:20" x14ac:dyDescent="0.25"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5"/>
      <c r="R541" s="5"/>
      <c r="S541" s="5"/>
      <c r="T541" s="5"/>
    </row>
    <row r="542" spans="5:20" x14ac:dyDescent="0.25"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5"/>
      <c r="R542" s="5"/>
      <c r="S542" s="5"/>
      <c r="T542" s="5"/>
    </row>
    <row r="543" spans="5:20" x14ac:dyDescent="0.25"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5"/>
      <c r="R543" s="5"/>
      <c r="S543" s="5"/>
      <c r="T543" s="5"/>
    </row>
    <row r="544" spans="5:20" x14ac:dyDescent="0.25"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5"/>
      <c r="R544" s="5"/>
      <c r="S544" s="5"/>
      <c r="T544" s="5"/>
    </row>
    <row r="545" spans="5:20" x14ac:dyDescent="0.25"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5"/>
      <c r="R545" s="5"/>
      <c r="S545" s="5"/>
      <c r="T545" s="5"/>
    </row>
    <row r="546" spans="5:20" x14ac:dyDescent="0.25"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5"/>
      <c r="R546" s="5"/>
      <c r="S546" s="5"/>
      <c r="T546" s="5"/>
    </row>
    <row r="547" spans="5:20" x14ac:dyDescent="0.25"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5"/>
      <c r="R547" s="5"/>
      <c r="S547" s="5"/>
      <c r="T547" s="5"/>
    </row>
    <row r="548" spans="5:20" x14ac:dyDescent="0.25"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5"/>
      <c r="R548" s="5"/>
      <c r="S548" s="5"/>
      <c r="T548" s="5"/>
    </row>
    <row r="549" spans="5:20" x14ac:dyDescent="0.25"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5"/>
      <c r="R549" s="5"/>
      <c r="S549" s="5"/>
      <c r="T549" s="5"/>
    </row>
    <row r="550" spans="5:20" x14ac:dyDescent="0.25"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5"/>
      <c r="R550" s="5"/>
      <c r="S550" s="5"/>
      <c r="T550" s="5"/>
    </row>
    <row r="551" spans="5:20" x14ac:dyDescent="0.25"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5"/>
      <c r="R551" s="5"/>
      <c r="S551" s="5"/>
      <c r="T551" s="5"/>
    </row>
    <row r="552" spans="5:20" x14ac:dyDescent="0.25"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5"/>
      <c r="R552" s="5"/>
      <c r="S552" s="5"/>
      <c r="T552" s="5"/>
    </row>
    <row r="553" spans="5:20" x14ac:dyDescent="0.25"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5"/>
      <c r="R553" s="5"/>
      <c r="S553" s="5"/>
      <c r="T553" s="5"/>
    </row>
    <row r="554" spans="5:20" x14ac:dyDescent="0.25"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5"/>
      <c r="R554" s="5"/>
      <c r="S554" s="5"/>
      <c r="T554" s="5"/>
    </row>
    <row r="555" spans="5:20" x14ac:dyDescent="0.25"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5"/>
      <c r="R555" s="5"/>
      <c r="S555" s="5"/>
      <c r="T555" s="5"/>
    </row>
    <row r="556" spans="5:20" x14ac:dyDescent="0.25"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5"/>
      <c r="R556" s="5"/>
      <c r="S556" s="5"/>
      <c r="T556" s="5"/>
    </row>
    <row r="557" spans="5:20" x14ac:dyDescent="0.25"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5"/>
      <c r="R557" s="5"/>
      <c r="S557" s="5"/>
      <c r="T557" s="5"/>
    </row>
    <row r="558" spans="5:20" x14ac:dyDescent="0.25"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5"/>
      <c r="R558" s="5"/>
      <c r="S558" s="5"/>
      <c r="T558" s="5"/>
    </row>
    <row r="559" spans="5:20" x14ac:dyDescent="0.25"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5"/>
      <c r="R559" s="5"/>
      <c r="S559" s="5"/>
      <c r="T559" s="5"/>
    </row>
    <row r="560" spans="5:20" x14ac:dyDescent="0.25"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5"/>
      <c r="R560" s="5"/>
      <c r="S560" s="5"/>
      <c r="T560" s="5"/>
    </row>
    <row r="561" spans="5:20" x14ac:dyDescent="0.25"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5"/>
      <c r="R561" s="5"/>
      <c r="S561" s="5"/>
      <c r="T561" s="5"/>
    </row>
    <row r="562" spans="5:20" x14ac:dyDescent="0.25"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5"/>
      <c r="R562" s="5"/>
      <c r="S562" s="5"/>
      <c r="T562" s="5"/>
    </row>
    <row r="563" spans="5:20" x14ac:dyDescent="0.25"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5"/>
      <c r="R563" s="5"/>
      <c r="S563" s="5"/>
      <c r="T563" s="5"/>
    </row>
    <row r="564" spans="5:20" x14ac:dyDescent="0.25"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5"/>
      <c r="R564" s="5"/>
      <c r="S564" s="5"/>
      <c r="T564" s="5"/>
    </row>
    <row r="565" spans="5:20" x14ac:dyDescent="0.25"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5"/>
      <c r="R565" s="5"/>
      <c r="S565" s="5"/>
      <c r="T565" s="5"/>
    </row>
    <row r="566" spans="5:20" x14ac:dyDescent="0.25"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5"/>
      <c r="R566" s="5"/>
      <c r="S566" s="5"/>
      <c r="T566" s="5"/>
    </row>
    <row r="567" spans="5:20" x14ac:dyDescent="0.25"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5"/>
      <c r="R567" s="5"/>
      <c r="S567" s="5"/>
      <c r="T567" s="5"/>
    </row>
    <row r="568" spans="5:20" x14ac:dyDescent="0.25"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5"/>
      <c r="R568" s="5"/>
      <c r="S568" s="5"/>
      <c r="T568" s="5"/>
    </row>
    <row r="569" spans="5:20" x14ac:dyDescent="0.25"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5"/>
      <c r="R569" s="5"/>
      <c r="S569" s="5"/>
      <c r="T569" s="5"/>
    </row>
    <row r="570" spans="5:20" x14ac:dyDescent="0.25"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5"/>
      <c r="R570" s="5"/>
      <c r="S570" s="5"/>
      <c r="T570" s="5"/>
    </row>
    <row r="571" spans="5:20" x14ac:dyDescent="0.25"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5"/>
      <c r="R571" s="5"/>
      <c r="S571" s="5"/>
      <c r="T571" s="5"/>
    </row>
    <row r="572" spans="5:20" x14ac:dyDescent="0.25"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5"/>
      <c r="R572" s="5"/>
      <c r="S572" s="5"/>
      <c r="T572" s="5"/>
    </row>
    <row r="573" spans="5:20" x14ac:dyDescent="0.25"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5"/>
      <c r="R573" s="5"/>
      <c r="S573" s="5"/>
      <c r="T573" s="5"/>
    </row>
    <row r="574" spans="5:20" x14ac:dyDescent="0.25"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5"/>
      <c r="R574" s="5"/>
      <c r="S574" s="5"/>
      <c r="T574" s="5"/>
    </row>
    <row r="575" spans="5:20" x14ac:dyDescent="0.25"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5"/>
      <c r="R575" s="5"/>
      <c r="S575" s="5"/>
      <c r="T575" s="5"/>
    </row>
    <row r="576" spans="5:20" x14ac:dyDescent="0.25"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5"/>
      <c r="R576" s="5"/>
      <c r="S576" s="5"/>
      <c r="T576" s="5"/>
    </row>
    <row r="577" spans="5:20" x14ac:dyDescent="0.25"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5"/>
      <c r="R577" s="5"/>
      <c r="S577" s="5"/>
      <c r="T577" s="5"/>
    </row>
    <row r="578" spans="5:20" x14ac:dyDescent="0.25"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5"/>
      <c r="R578" s="5"/>
      <c r="S578" s="5"/>
      <c r="T578" s="5"/>
    </row>
    <row r="579" spans="5:20" x14ac:dyDescent="0.25"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5"/>
      <c r="R579" s="5"/>
      <c r="S579" s="5"/>
      <c r="T579" s="5"/>
    </row>
    <row r="580" spans="5:20" x14ac:dyDescent="0.25"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5"/>
      <c r="R580" s="5"/>
      <c r="S580" s="5"/>
      <c r="T580" s="5"/>
    </row>
    <row r="581" spans="5:20" x14ac:dyDescent="0.25"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5"/>
      <c r="R581" s="5"/>
      <c r="S581" s="5"/>
      <c r="T581" s="5"/>
    </row>
    <row r="582" spans="5:20" x14ac:dyDescent="0.25"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5"/>
      <c r="R582" s="5"/>
      <c r="S582" s="5"/>
      <c r="T582" s="5"/>
    </row>
    <row r="583" spans="5:20" x14ac:dyDescent="0.25"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5"/>
      <c r="R583" s="5"/>
      <c r="S583" s="5"/>
      <c r="T583" s="5"/>
    </row>
    <row r="584" spans="5:20" x14ac:dyDescent="0.25"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5"/>
      <c r="R584" s="5"/>
      <c r="S584" s="5"/>
      <c r="T584" s="5"/>
    </row>
    <row r="585" spans="5:20" x14ac:dyDescent="0.25"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5"/>
      <c r="R585" s="5"/>
      <c r="S585" s="5"/>
      <c r="T585" s="5"/>
    </row>
    <row r="586" spans="5:20" x14ac:dyDescent="0.25"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5"/>
      <c r="R586" s="5"/>
      <c r="S586" s="5"/>
      <c r="T586" s="5"/>
    </row>
    <row r="587" spans="5:20" x14ac:dyDescent="0.25"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5"/>
      <c r="R587" s="5"/>
      <c r="S587" s="5"/>
      <c r="T587" s="5"/>
    </row>
    <row r="588" spans="5:20" x14ac:dyDescent="0.25"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5"/>
      <c r="R588" s="5"/>
      <c r="S588" s="5"/>
      <c r="T588" s="5"/>
    </row>
    <row r="589" spans="5:20" x14ac:dyDescent="0.25"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5"/>
      <c r="R589" s="5"/>
      <c r="S589" s="5"/>
      <c r="T589" s="5"/>
    </row>
    <row r="590" spans="5:20" x14ac:dyDescent="0.25"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5"/>
      <c r="R590" s="5"/>
      <c r="S590" s="5"/>
      <c r="T590" s="5"/>
    </row>
    <row r="591" spans="5:20" x14ac:dyDescent="0.25"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5"/>
      <c r="R591" s="5"/>
      <c r="S591" s="5"/>
      <c r="T591" s="5"/>
    </row>
    <row r="592" spans="5:20" x14ac:dyDescent="0.25"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5"/>
      <c r="R592" s="5"/>
      <c r="S592" s="5"/>
      <c r="T592" s="5"/>
    </row>
    <row r="593" spans="5:20" x14ac:dyDescent="0.25"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5"/>
      <c r="R593" s="5"/>
      <c r="S593" s="5"/>
      <c r="T593" s="5"/>
    </row>
    <row r="594" spans="5:20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5"/>
      <c r="R594" s="5"/>
      <c r="S594" s="5"/>
      <c r="T594" s="5"/>
    </row>
    <row r="595" spans="5:20" x14ac:dyDescent="0.25"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5"/>
      <c r="R595" s="5"/>
      <c r="S595" s="5"/>
      <c r="T595" s="5"/>
    </row>
    <row r="596" spans="5:20" x14ac:dyDescent="0.25"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5"/>
      <c r="R596" s="5"/>
      <c r="S596" s="5"/>
      <c r="T596" s="5"/>
    </row>
    <row r="597" spans="5:20" x14ac:dyDescent="0.25"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5"/>
      <c r="R597" s="5"/>
      <c r="S597" s="5"/>
      <c r="T597" s="5"/>
    </row>
    <row r="598" spans="5:20" x14ac:dyDescent="0.25"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5"/>
      <c r="R598" s="5"/>
      <c r="S598" s="5"/>
      <c r="T598" s="5"/>
    </row>
    <row r="599" spans="5:20" x14ac:dyDescent="0.25"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5"/>
      <c r="R599" s="5"/>
      <c r="S599" s="5"/>
      <c r="T599" s="5"/>
    </row>
    <row r="600" spans="5:20" x14ac:dyDescent="0.25"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5"/>
      <c r="R600" s="5"/>
      <c r="S600" s="5"/>
      <c r="T600" s="5"/>
    </row>
    <row r="601" spans="5:20" x14ac:dyDescent="0.25"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5"/>
      <c r="R601" s="5"/>
      <c r="S601" s="5"/>
      <c r="T601" s="5"/>
    </row>
    <row r="602" spans="5:20" x14ac:dyDescent="0.25"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5"/>
      <c r="R602" s="5"/>
      <c r="S602" s="5"/>
      <c r="T602" s="5"/>
    </row>
    <row r="603" spans="5:20" x14ac:dyDescent="0.25"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5"/>
      <c r="R603" s="5"/>
      <c r="S603" s="5"/>
      <c r="T603" s="5"/>
    </row>
    <row r="604" spans="5:20" x14ac:dyDescent="0.25"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5"/>
      <c r="R604" s="5"/>
      <c r="S604" s="5"/>
      <c r="T604" s="5"/>
    </row>
    <row r="605" spans="5:20" x14ac:dyDescent="0.25"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5"/>
      <c r="R605" s="5"/>
      <c r="S605" s="5"/>
      <c r="T605" s="5"/>
    </row>
    <row r="606" spans="5:20" x14ac:dyDescent="0.25"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5"/>
      <c r="R606" s="5"/>
      <c r="S606" s="5"/>
      <c r="T606" s="5"/>
    </row>
    <row r="607" spans="5:20" x14ac:dyDescent="0.25"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5"/>
      <c r="R607" s="5"/>
      <c r="S607" s="5"/>
      <c r="T607" s="5"/>
    </row>
    <row r="608" spans="5:20" x14ac:dyDescent="0.25"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5"/>
      <c r="R608" s="5"/>
      <c r="S608" s="5"/>
      <c r="T608" s="5"/>
    </row>
    <row r="609" spans="5:20" x14ac:dyDescent="0.25"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5"/>
      <c r="R609" s="5"/>
      <c r="S609" s="5"/>
      <c r="T609" s="5"/>
    </row>
    <row r="610" spans="5:20" x14ac:dyDescent="0.25"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5"/>
      <c r="R610" s="5"/>
      <c r="S610" s="5"/>
      <c r="T610" s="5"/>
    </row>
    <row r="611" spans="5:20" x14ac:dyDescent="0.25"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5"/>
      <c r="R611" s="5"/>
      <c r="S611" s="5"/>
      <c r="T611" s="5"/>
    </row>
    <row r="612" spans="5:20" x14ac:dyDescent="0.25"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5"/>
      <c r="R612" s="5"/>
      <c r="S612" s="5"/>
      <c r="T612" s="5"/>
    </row>
    <row r="613" spans="5:20" x14ac:dyDescent="0.25"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5"/>
      <c r="R613" s="5"/>
      <c r="S613" s="5"/>
      <c r="T613" s="5"/>
    </row>
    <row r="614" spans="5:20" x14ac:dyDescent="0.25"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5"/>
      <c r="R614" s="5"/>
      <c r="S614" s="5"/>
      <c r="T614" s="5"/>
    </row>
    <row r="615" spans="5:20" x14ac:dyDescent="0.25"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5"/>
      <c r="R615" s="5"/>
      <c r="S615" s="5"/>
      <c r="T615" s="5"/>
    </row>
    <row r="616" spans="5:20" x14ac:dyDescent="0.25"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5"/>
      <c r="R616" s="5"/>
      <c r="S616" s="5"/>
      <c r="T616" s="5"/>
    </row>
    <row r="617" spans="5:20" x14ac:dyDescent="0.25"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5"/>
      <c r="R617" s="5"/>
      <c r="S617" s="5"/>
      <c r="T617" s="5"/>
    </row>
    <row r="618" spans="5:20" x14ac:dyDescent="0.25"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5"/>
      <c r="R618" s="5"/>
      <c r="S618" s="5"/>
      <c r="T618" s="5"/>
    </row>
    <row r="619" spans="5:20" x14ac:dyDescent="0.25"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5"/>
      <c r="R619" s="5"/>
      <c r="S619" s="5"/>
      <c r="T619" s="5"/>
    </row>
    <row r="620" spans="5:20" x14ac:dyDescent="0.25"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5"/>
      <c r="R620" s="5"/>
      <c r="S620" s="5"/>
      <c r="T620" s="5"/>
    </row>
    <row r="621" spans="5:20" x14ac:dyDescent="0.25"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5"/>
      <c r="R621" s="5"/>
      <c r="S621" s="5"/>
      <c r="T621" s="5"/>
    </row>
    <row r="622" spans="5:20" x14ac:dyDescent="0.25"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5"/>
      <c r="R622" s="5"/>
      <c r="S622" s="5"/>
      <c r="T622" s="5"/>
    </row>
    <row r="623" spans="5:20" x14ac:dyDescent="0.25"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5"/>
      <c r="R623" s="5"/>
      <c r="S623" s="5"/>
      <c r="T623" s="5"/>
    </row>
    <row r="624" spans="5:20" x14ac:dyDescent="0.25"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5"/>
      <c r="R624" s="5"/>
      <c r="S624" s="5"/>
      <c r="T624" s="5"/>
    </row>
    <row r="625" spans="5:20" x14ac:dyDescent="0.25"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5"/>
      <c r="R625" s="5"/>
      <c r="S625" s="5"/>
      <c r="T625" s="5"/>
    </row>
    <row r="626" spans="5:20" x14ac:dyDescent="0.25"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5"/>
      <c r="R626" s="5"/>
      <c r="S626" s="5"/>
      <c r="T626" s="5"/>
    </row>
    <row r="627" spans="5:20" x14ac:dyDescent="0.25"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5"/>
      <c r="R627" s="5"/>
      <c r="S627" s="5"/>
      <c r="T627" s="5"/>
    </row>
    <row r="628" spans="5:20" x14ac:dyDescent="0.25"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5"/>
      <c r="R628" s="5"/>
      <c r="S628" s="5"/>
      <c r="T628" s="5"/>
    </row>
    <row r="629" spans="5:20" x14ac:dyDescent="0.25"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5"/>
      <c r="R629" s="5"/>
      <c r="S629" s="5"/>
      <c r="T629" s="5"/>
    </row>
    <row r="630" spans="5:20" x14ac:dyDescent="0.25"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5"/>
      <c r="R630" s="5"/>
      <c r="S630" s="5"/>
      <c r="T630" s="5"/>
    </row>
    <row r="631" spans="5:20" x14ac:dyDescent="0.25"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5"/>
      <c r="R631" s="5"/>
      <c r="S631" s="5"/>
      <c r="T631" s="5"/>
    </row>
    <row r="632" spans="5:20" x14ac:dyDescent="0.25"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5"/>
      <c r="R632" s="5"/>
      <c r="S632" s="5"/>
      <c r="T632" s="5"/>
    </row>
    <row r="633" spans="5:20" x14ac:dyDescent="0.25"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5"/>
      <c r="R633" s="5"/>
      <c r="S633" s="5"/>
      <c r="T633" s="5"/>
    </row>
    <row r="634" spans="5:20" x14ac:dyDescent="0.25"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5"/>
      <c r="R634" s="5"/>
      <c r="S634" s="5"/>
      <c r="T634" s="5"/>
    </row>
    <row r="635" spans="5:20" x14ac:dyDescent="0.25"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5"/>
      <c r="R635" s="5"/>
      <c r="S635" s="5"/>
      <c r="T635" s="5"/>
    </row>
    <row r="636" spans="5:20" x14ac:dyDescent="0.25"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5"/>
      <c r="R636" s="5"/>
      <c r="S636" s="5"/>
      <c r="T636" s="5"/>
    </row>
    <row r="637" spans="5:20" x14ac:dyDescent="0.25"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5"/>
      <c r="R637" s="5"/>
      <c r="S637" s="5"/>
      <c r="T637" s="5"/>
    </row>
    <row r="638" spans="5:20" x14ac:dyDescent="0.25"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5"/>
      <c r="R638" s="5"/>
      <c r="S638" s="5"/>
      <c r="T638" s="5"/>
    </row>
    <row r="639" spans="5:20" x14ac:dyDescent="0.25"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5"/>
      <c r="R639" s="5"/>
      <c r="S639" s="5"/>
      <c r="T639" s="5"/>
    </row>
    <row r="640" spans="5:20" x14ac:dyDescent="0.25"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5"/>
      <c r="R640" s="5"/>
      <c r="S640" s="5"/>
      <c r="T640" s="5"/>
    </row>
    <row r="641" spans="5:20" x14ac:dyDescent="0.25"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5"/>
      <c r="R641" s="5"/>
      <c r="S641" s="5"/>
      <c r="T641" s="5"/>
    </row>
    <row r="642" spans="5:20" x14ac:dyDescent="0.25"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5"/>
      <c r="R642" s="5"/>
      <c r="S642" s="5"/>
      <c r="T642" s="5"/>
    </row>
    <row r="643" spans="5:20" x14ac:dyDescent="0.25"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5"/>
      <c r="R643" s="5"/>
      <c r="S643" s="5"/>
      <c r="T643" s="5"/>
    </row>
    <row r="644" spans="5:20" x14ac:dyDescent="0.25"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5"/>
      <c r="R644" s="5"/>
      <c r="S644" s="5"/>
      <c r="T644" s="5"/>
    </row>
    <row r="645" spans="5:20" x14ac:dyDescent="0.25"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5"/>
      <c r="R645" s="5"/>
      <c r="S645" s="5"/>
      <c r="T645" s="5"/>
    </row>
    <row r="646" spans="5:20" x14ac:dyDescent="0.25"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5"/>
      <c r="R646" s="5"/>
      <c r="S646" s="5"/>
      <c r="T646" s="5"/>
    </row>
    <row r="647" spans="5:20" x14ac:dyDescent="0.25"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5"/>
      <c r="R647" s="5"/>
      <c r="S647" s="5"/>
      <c r="T647" s="5"/>
    </row>
    <row r="648" spans="5:20" x14ac:dyDescent="0.25"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5"/>
      <c r="R648" s="5"/>
      <c r="S648" s="5"/>
      <c r="T648" s="5"/>
    </row>
    <row r="649" spans="5:20" x14ac:dyDescent="0.25"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5"/>
      <c r="R649" s="5"/>
      <c r="S649" s="5"/>
      <c r="T649" s="5"/>
    </row>
    <row r="650" spans="5:20" x14ac:dyDescent="0.25"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5"/>
      <c r="R650" s="5"/>
      <c r="S650" s="5"/>
      <c r="T650" s="5"/>
    </row>
    <row r="651" spans="5:20" x14ac:dyDescent="0.25"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5"/>
      <c r="R651" s="5"/>
      <c r="S651" s="5"/>
      <c r="T651" s="5"/>
    </row>
    <row r="652" spans="5:20" x14ac:dyDescent="0.25"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5"/>
      <c r="R652" s="5"/>
      <c r="S652" s="5"/>
      <c r="T652" s="5"/>
    </row>
    <row r="653" spans="5:20" x14ac:dyDescent="0.25"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5"/>
      <c r="R653" s="5"/>
      <c r="S653" s="5"/>
      <c r="T653" s="5"/>
    </row>
    <row r="654" spans="5:20" x14ac:dyDescent="0.25"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5"/>
      <c r="R654" s="5"/>
      <c r="S654" s="5"/>
      <c r="T654" s="5"/>
    </row>
    <row r="655" spans="5:20" x14ac:dyDescent="0.25"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5"/>
      <c r="R655" s="5"/>
      <c r="S655" s="5"/>
      <c r="T655" s="5"/>
    </row>
    <row r="656" spans="5:20" x14ac:dyDescent="0.25"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5"/>
      <c r="R656" s="5"/>
      <c r="S656" s="5"/>
      <c r="T656" s="5"/>
    </row>
    <row r="657" spans="5:20" x14ac:dyDescent="0.25"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5"/>
      <c r="R657" s="5"/>
      <c r="S657" s="5"/>
      <c r="T657" s="5"/>
    </row>
    <row r="658" spans="5:20" x14ac:dyDescent="0.25"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5"/>
      <c r="R658" s="5"/>
      <c r="S658" s="5"/>
      <c r="T658" s="5"/>
    </row>
    <row r="659" spans="5:20" x14ac:dyDescent="0.25"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5"/>
      <c r="R659" s="5"/>
      <c r="S659" s="5"/>
      <c r="T659" s="5"/>
    </row>
    <row r="660" spans="5:20" x14ac:dyDescent="0.25"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5"/>
      <c r="R660" s="5"/>
      <c r="S660" s="5"/>
      <c r="T660" s="5"/>
    </row>
    <row r="661" spans="5:20" x14ac:dyDescent="0.25"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5"/>
      <c r="R661" s="5"/>
      <c r="S661" s="5"/>
      <c r="T661" s="5"/>
    </row>
    <row r="662" spans="5:20" x14ac:dyDescent="0.25"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5"/>
      <c r="R662" s="5"/>
      <c r="S662" s="5"/>
      <c r="T662" s="5"/>
    </row>
    <row r="663" spans="5:20" x14ac:dyDescent="0.25"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5"/>
      <c r="R663" s="5"/>
      <c r="S663" s="5"/>
      <c r="T663" s="5"/>
    </row>
    <row r="664" spans="5:20" x14ac:dyDescent="0.25"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5"/>
      <c r="R664" s="5"/>
      <c r="S664" s="5"/>
      <c r="T664" s="5"/>
    </row>
    <row r="665" spans="5:20" x14ac:dyDescent="0.25"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5"/>
      <c r="R665" s="5"/>
      <c r="S665" s="5"/>
      <c r="T665" s="5"/>
    </row>
    <row r="666" spans="5:20" x14ac:dyDescent="0.25"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5"/>
      <c r="R666" s="5"/>
      <c r="S666" s="5"/>
      <c r="T666" s="5"/>
    </row>
    <row r="667" spans="5:20" x14ac:dyDescent="0.25"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5"/>
      <c r="R667" s="5"/>
      <c r="S667" s="5"/>
      <c r="T667" s="5"/>
    </row>
    <row r="668" spans="5:20" x14ac:dyDescent="0.25"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5"/>
      <c r="R668" s="5"/>
      <c r="S668" s="5"/>
      <c r="T668" s="5"/>
    </row>
    <row r="669" spans="5:20" x14ac:dyDescent="0.25"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5"/>
      <c r="R669" s="5"/>
      <c r="S669" s="5"/>
      <c r="T669" s="5"/>
    </row>
    <row r="670" spans="5:20" x14ac:dyDescent="0.25"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5"/>
      <c r="R670" s="5"/>
      <c r="S670" s="5"/>
      <c r="T670" s="5"/>
    </row>
    <row r="671" spans="5:20" x14ac:dyDescent="0.25"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5"/>
      <c r="R671" s="5"/>
      <c r="S671" s="5"/>
      <c r="T671" s="5"/>
    </row>
    <row r="672" spans="5:20" x14ac:dyDescent="0.25"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5"/>
      <c r="R672" s="5"/>
      <c r="S672" s="5"/>
      <c r="T672" s="5"/>
    </row>
    <row r="673" spans="5:20" x14ac:dyDescent="0.25"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5"/>
      <c r="R673" s="5"/>
      <c r="S673" s="5"/>
      <c r="T673" s="5"/>
    </row>
    <row r="674" spans="5:20" x14ac:dyDescent="0.25"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5"/>
      <c r="R674" s="5"/>
      <c r="S674" s="5"/>
      <c r="T674" s="5"/>
    </row>
    <row r="675" spans="5:20" x14ac:dyDescent="0.25"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5"/>
      <c r="R675" s="5"/>
      <c r="S675" s="5"/>
      <c r="T675" s="5"/>
    </row>
    <row r="676" spans="5:20" x14ac:dyDescent="0.25"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5"/>
      <c r="R676" s="5"/>
      <c r="S676" s="5"/>
      <c r="T676" s="5"/>
    </row>
    <row r="677" spans="5:20" x14ac:dyDescent="0.25"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5"/>
      <c r="R677" s="5"/>
      <c r="S677" s="5"/>
      <c r="T677" s="5"/>
    </row>
    <row r="678" spans="5:20" x14ac:dyDescent="0.25"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5"/>
      <c r="R678" s="5"/>
      <c r="S678" s="5"/>
      <c r="T678" s="5"/>
    </row>
    <row r="679" spans="5:20" x14ac:dyDescent="0.25"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5"/>
      <c r="R679" s="5"/>
      <c r="S679" s="5"/>
      <c r="T679" s="5"/>
    </row>
    <row r="680" spans="5:20" x14ac:dyDescent="0.25"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5"/>
      <c r="R680" s="5"/>
      <c r="S680" s="5"/>
      <c r="T680" s="5"/>
    </row>
    <row r="681" spans="5:20" x14ac:dyDescent="0.25"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5"/>
      <c r="R681" s="5"/>
      <c r="S681" s="5"/>
      <c r="T681" s="5"/>
    </row>
    <row r="682" spans="5:20" x14ac:dyDescent="0.25"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5"/>
      <c r="R682" s="5"/>
      <c r="S682" s="5"/>
      <c r="T682" s="5"/>
    </row>
    <row r="683" spans="5:20" x14ac:dyDescent="0.25"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5"/>
      <c r="R683" s="5"/>
      <c r="S683" s="5"/>
      <c r="T683" s="5"/>
    </row>
    <row r="684" spans="5:20" x14ac:dyDescent="0.25"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5"/>
      <c r="R684" s="5"/>
      <c r="S684" s="5"/>
      <c r="T684" s="5"/>
    </row>
    <row r="685" spans="5:20" x14ac:dyDescent="0.25"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5"/>
      <c r="R685" s="5"/>
      <c r="S685" s="5"/>
      <c r="T685" s="5"/>
    </row>
    <row r="686" spans="5:20" x14ac:dyDescent="0.25"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5"/>
      <c r="R686" s="5"/>
      <c r="S686" s="5"/>
      <c r="T686" s="5"/>
    </row>
    <row r="687" spans="5:20" x14ac:dyDescent="0.25"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5"/>
      <c r="R687" s="5"/>
      <c r="S687" s="5"/>
      <c r="T687" s="5"/>
    </row>
    <row r="688" spans="5:20" x14ac:dyDescent="0.25"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5"/>
      <c r="R688" s="5"/>
      <c r="S688" s="5"/>
      <c r="T688" s="5"/>
    </row>
    <row r="689" spans="5:20" x14ac:dyDescent="0.25"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5"/>
      <c r="R689" s="5"/>
      <c r="S689" s="5"/>
      <c r="T689" s="5"/>
    </row>
    <row r="690" spans="5:20" x14ac:dyDescent="0.25"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5"/>
      <c r="R690" s="5"/>
      <c r="S690" s="5"/>
      <c r="T690" s="5"/>
    </row>
    <row r="691" spans="5:20" x14ac:dyDescent="0.25"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5"/>
      <c r="R691" s="5"/>
      <c r="S691" s="5"/>
      <c r="T691" s="5"/>
    </row>
    <row r="692" spans="5:20" x14ac:dyDescent="0.25"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5"/>
      <c r="R692" s="5"/>
      <c r="S692" s="5"/>
      <c r="T692" s="5"/>
    </row>
    <row r="693" spans="5:20" x14ac:dyDescent="0.25"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5"/>
      <c r="R693" s="5"/>
      <c r="S693" s="5"/>
      <c r="T693" s="5"/>
    </row>
    <row r="694" spans="5:20" x14ac:dyDescent="0.25"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5"/>
      <c r="R694" s="5"/>
      <c r="S694" s="5"/>
      <c r="T694" s="5"/>
    </row>
    <row r="695" spans="5:20" x14ac:dyDescent="0.25"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5"/>
      <c r="R695" s="5"/>
      <c r="S695" s="5"/>
      <c r="T695" s="5"/>
    </row>
    <row r="696" spans="5:20" x14ac:dyDescent="0.25"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5"/>
      <c r="R696" s="5"/>
      <c r="S696" s="5"/>
      <c r="T696" s="5"/>
    </row>
    <row r="697" spans="5:20" x14ac:dyDescent="0.25"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5"/>
      <c r="R697" s="5"/>
      <c r="S697" s="5"/>
      <c r="T697" s="5"/>
    </row>
    <row r="698" spans="5:20" x14ac:dyDescent="0.25"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5"/>
      <c r="R698" s="5"/>
      <c r="S698" s="5"/>
      <c r="T698" s="5"/>
    </row>
    <row r="699" spans="5:20" x14ac:dyDescent="0.25"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5"/>
      <c r="R699" s="5"/>
      <c r="S699" s="5"/>
      <c r="T699" s="5"/>
    </row>
    <row r="700" spans="5:20" x14ac:dyDescent="0.25"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5"/>
      <c r="R700" s="5"/>
      <c r="S700" s="5"/>
      <c r="T700" s="5"/>
    </row>
    <row r="701" spans="5:20" x14ac:dyDescent="0.25"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5"/>
      <c r="R701" s="5"/>
      <c r="S701" s="5"/>
      <c r="T701" s="5"/>
    </row>
    <row r="702" spans="5:20" x14ac:dyDescent="0.25"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5"/>
      <c r="R702" s="5"/>
      <c r="S702" s="5"/>
      <c r="T702" s="5"/>
    </row>
    <row r="703" spans="5:20" x14ac:dyDescent="0.25"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5"/>
      <c r="R703" s="5"/>
      <c r="S703" s="5"/>
      <c r="T703" s="5"/>
    </row>
    <row r="704" spans="5:20" x14ac:dyDescent="0.25"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5"/>
      <c r="R704" s="5"/>
      <c r="S704" s="5"/>
      <c r="T704" s="5"/>
    </row>
    <row r="705" spans="5:20" x14ac:dyDescent="0.25"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5"/>
      <c r="R705" s="5"/>
      <c r="S705" s="5"/>
      <c r="T705" s="5"/>
    </row>
    <row r="706" spans="5:20" x14ac:dyDescent="0.25"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5"/>
      <c r="R706" s="5"/>
      <c r="S706" s="5"/>
      <c r="T706" s="5"/>
    </row>
    <row r="707" spans="5:20" x14ac:dyDescent="0.25"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5"/>
      <c r="R707" s="5"/>
      <c r="S707" s="5"/>
      <c r="T707" s="5"/>
    </row>
    <row r="708" spans="5:20" x14ac:dyDescent="0.25"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5"/>
      <c r="R708" s="5"/>
      <c r="S708" s="5"/>
      <c r="T708" s="5"/>
    </row>
    <row r="709" spans="5:20" x14ac:dyDescent="0.25"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5"/>
      <c r="R709" s="5"/>
      <c r="S709" s="5"/>
      <c r="T709" s="5"/>
    </row>
    <row r="710" spans="5:20" x14ac:dyDescent="0.25"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5"/>
      <c r="R710" s="5"/>
      <c r="S710" s="5"/>
      <c r="T710" s="5"/>
    </row>
    <row r="711" spans="5:20" x14ac:dyDescent="0.25"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5"/>
      <c r="R711" s="5"/>
      <c r="S711" s="5"/>
      <c r="T711" s="5"/>
    </row>
    <row r="712" spans="5:20" x14ac:dyDescent="0.25"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5"/>
      <c r="R712" s="5"/>
      <c r="S712" s="5"/>
      <c r="T712" s="5"/>
    </row>
    <row r="713" spans="5:20" x14ac:dyDescent="0.25"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5"/>
      <c r="R713" s="5"/>
      <c r="S713" s="5"/>
      <c r="T713" s="5"/>
    </row>
    <row r="714" spans="5:20" x14ac:dyDescent="0.25"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5"/>
      <c r="R714" s="5"/>
      <c r="S714" s="5"/>
      <c r="T714" s="5"/>
    </row>
    <row r="715" spans="5:20" x14ac:dyDescent="0.25"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5"/>
      <c r="R715" s="5"/>
      <c r="S715" s="5"/>
      <c r="T715" s="5"/>
    </row>
    <row r="716" spans="5:20" x14ac:dyDescent="0.25"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5"/>
      <c r="R716" s="5"/>
      <c r="S716" s="5"/>
      <c r="T716" s="5"/>
    </row>
    <row r="717" spans="5:20" x14ac:dyDescent="0.25"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5"/>
      <c r="R717" s="5"/>
      <c r="S717" s="5"/>
      <c r="T717" s="5"/>
    </row>
    <row r="718" spans="5:20" x14ac:dyDescent="0.25"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5"/>
      <c r="R718" s="5"/>
      <c r="S718" s="5"/>
      <c r="T718" s="5"/>
    </row>
    <row r="719" spans="5:20" x14ac:dyDescent="0.25"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5"/>
      <c r="R719" s="5"/>
      <c r="S719" s="5"/>
      <c r="T719" s="5"/>
    </row>
    <row r="720" spans="5:20" x14ac:dyDescent="0.25"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5"/>
      <c r="R720" s="5"/>
      <c r="S720" s="5"/>
      <c r="T720" s="5"/>
    </row>
    <row r="721" spans="5:20" x14ac:dyDescent="0.25"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5"/>
      <c r="R721" s="5"/>
      <c r="S721" s="5"/>
      <c r="T721" s="5"/>
    </row>
    <row r="722" spans="5:20" x14ac:dyDescent="0.25"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5"/>
      <c r="R722" s="5"/>
      <c r="S722" s="5"/>
      <c r="T722" s="5"/>
    </row>
    <row r="723" spans="5:20" x14ac:dyDescent="0.25"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5"/>
      <c r="R723" s="5"/>
      <c r="S723" s="5"/>
      <c r="T723" s="5"/>
    </row>
    <row r="724" spans="5:20" x14ac:dyDescent="0.25"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5"/>
      <c r="R724" s="5"/>
      <c r="S724" s="5"/>
      <c r="T724" s="5"/>
    </row>
    <row r="725" spans="5:20" x14ac:dyDescent="0.25"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5"/>
      <c r="R725" s="5"/>
      <c r="S725" s="5"/>
      <c r="T725" s="5"/>
    </row>
    <row r="726" spans="5:20" x14ac:dyDescent="0.25"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5"/>
      <c r="R726" s="5"/>
      <c r="S726" s="5"/>
      <c r="T726" s="5"/>
    </row>
    <row r="727" spans="5:20" x14ac:dyDescent="0.25"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5"/>
      <c r="R727" s="5"/>
      <c r="S727" s="5"/>
      <c r="T727" s="5"/>
    </row>
    <row r="728" spans="5:20" x14ac:dyDescent="0.25"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5"/>
      <c r="R728" s="5"/>
      <c r="S728" s="5"/>
      <c r="T728" s="5"/>
    </row>
    <row r="729" spans="5:20" x14ac:dyDescent="0.25"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5"/>
      <c r="R729" s="5"/>
      <c r="S729" s="5"/>
      <c r="T729" s="5"/>
    </row>
    <row r="730" spans="5:20" x14ac:dyDescent="0.25"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5"/>
      <c r="R730" s="5"/>
      <c r="S730" s="5"/>
      <c r="T730" s="5"/>
    </row>
    <row r="731" spans="5:20" x14ac:dyDescent="0.25"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5"/>
      <c r="R731" s="5"/>
      <c r="S731" s="5"/>
      <c r="T731" s="5"/>
    </row>
    <row r="732" spans="5:20" x14ac:dyDescent="0.25"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5"/>
      <c r="R732" s="5"/>
      <c r="S732" s="5"/>
      <c r="T732" s="5"/>
    </row>
    <row r="733" spans="5:20" x14ac:dyDescent="0.25"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5"/>
      <c r="R733" s="5"/>
      <c r="S733" s="5"/>
      <c r="T733" s="5"/>
    </row>
    <row r="734" spans="5:20" x14ac:dyDescent="0.25"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5"/>
      <c r="R734" s="5"/>
      <c r="S734" s="5"/>
      <c r="T734" s="5"/>
    </row>
    <row r="735" spans="5:20" x14ac:dyDescent="0.25"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5"/>
      <c r="R735" s="5"/>
      <c r="S735" s="5"/>
      <c r="T735" s="5"/>
    </row>
    <row r="736" spans="5:20" x14ac:dyDescent="0.25"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5"/>
      <c r="R736" s="5"/>
      <c r="S736" s="5"/>
      <c r="T736" s="5"/>
    </row>
    <row r="737" spans="5:20" x14ac:dyDescent="0.25"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5"/>
      <c r="R737" s="5"/>
      <c r="S737" s="5"/>
      <c r="T737" s="5"/>
    </row>
    <row r="738" spans="5:20" x14ac:dyDescent="0.25"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5"/>
      <c r="R738" s="5"/>
      <c r="S738" s="5"/>
      <c r="T738" s="5"/>
    </row>
    <row r="739" spans="5:20" x14ac:dyDescent="0.25"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5"/>
      <c r="R739" s="5"/>
      <c r="S739" s="5"/>
      <c r="T739" s="5"/>
    </row>
    <row r="740" spans="5:20" x14ac:dyDescent="0.25"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5"/>
      <c r="R740" s="5"/>
      <c r="S740" s="5"/>
      <c r="T740" s="5"/>
    </row>
    <row r="741" spans="5:20" x14ac:dyDescent="0.25"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5"/>
      <c r="R741" s="5"/>
      <c r="S741" s="5"/>
      <c r="T741" s="5"/>
    </row>
    <row r="742" spans="5:20" x14ac:dyDescent="0.25"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5"/>
      <c r="R742" s="5"/>
      <c r="S742" s="5"/>
      <c r="T742" s="5"/>
    </row>
    <row r="743" spans="5:20" x14ac:dyDescent="0.25"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5"/>
      <c r="R743" s="5"/>
      <c r="S743" s="5"/>
      <c r="T743" s="5"/>
    </row>
    <row r="744" spans="5:20" x14ac:dyDescent="0.25"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5"/>
      <c r="R744" s="5"/>
      <c r="S744" s="5"/>
      <c r="T744" s="5"/>
    </row>
    <row r="745" spans="5:20" x14ac:dyDescent="0.25"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5"/>
      <c r="R745" s="5"/>
      <c r="S745" s="5"/>
      <c r="T745" s="5"/>
    </row>
    <row r="746" spans="5:20" x14ac:dyDescent="0.25"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5"/>
      <c r="R746" s="5"/>
      <c r="S746" s="5"/>
      <c r="T746" s="5"/>
    </row>
    <row r="747" spans="5:20" x14ac:dyDescent="0.25"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5"/>
      <c r="R747" s="5"/>
      <c r="S747" s="5"/>
      <c r="T747" s="5"/>
    </row>
    <row r="748" spans="5:20" x14ac:dyDescent="0.25"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5"/>
      <c r="R748" s="5"/>
      <c r="S748" s="5"/>
      <c r="T748" s="5"/>
    </row>
    <row r="749" spans="5:20" x14ac:dyDescent="0.25"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5"/>
      <c r="R749" s="5"/>
      <c r="S749" s="5"/>
      <c r="T749" s="5"/>
    </row>
    <row r="750" spans="5:20" x14ac:dyDescent="0.25"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5"/>
      <c r="R750" s="5"/>
      <c r="S750" s="5"/>
      <c r="T750" s="5"/>
    </row>
    <row r="751" spans="5:20" x14ac:dyDescent="0.25"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5"/>
      <c r="R751" s="5"/>
      <c r="S751" s="5"/>
      <c r="T751" s="5"/>
    </row>
    <row r="752" spans="5:20" x14ac:dyDescent="0.25"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5"/>
      <c r="R752" s="5"/>
      <c r="S752" s="5"/>
      <c r="T752" s="5"/>
    </row>
    <row r="753" spans="5:20" x14ac:dyDescent="0.25"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5"/>
      <c r="R753" s="5"/>
      <c r="S753" s="5"/>
      <c r="T753" s="5"/>
    </row>
    <row r="754" spans="5:20" x14ac:dyDescent="0.25"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5"/>
      <c r="R754" s="5"/>
      <c r="S754" s="5"/>
      <c r="T754" s="5"/>
    </row>
    <row r="755" spans="5:20" x14ac:dyDescent="0.25"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5"/>
      <c r="R755" s="5"/>
      <c r="S755" s="5"/>
      <c r="T755" s="5"/>
    </row>
    <row r="756" spans="5:20" x14ac:dyDescent="0.25"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5"/>
      <c r="R756" s="5"/>
      <c r="S756" s="5"/>
      <c r="T756" s="5"/>
    </row>
    <row r="757" spans="5:20" x14ac:dyDescent="0.25"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5"/>
      <c r="R757" s="5"/>
      <c r="S757" s="5"/>
      <c r="T757" s="5"/>
    </row>
    <row r="758" spans="5:20" x14ac:dyDescent="0.25"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5"/>
      <c r="R758" s="5"/>
      <c r="S758" s="5"/>
      <c r="T758" s="5"/>
    </row>
    <row r="759" spans="5:20" x14ac:dyDescent="0.25"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5"/>
      <c r="R759" s="5"/>
      <c r="S759" s="5"/>
      <c r="T759" s="5"/>
    </row>
    <row r="760" spans="5:20" x14ac:dyDescent="0.25"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5"/>
      <c r="R760" s="5"/>
      <c r="S760" s="5"/>
      <c r="T760" s="5"/>
    </row>
    <row r="761" spans="5:20" x14ac:dyDescent="0.25"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5"/>
      <c r="R761" s="5"/>
      <c r="S761" s="5"/>
      <c r="T761" s="5"/>
    </row>
    <row r="762" spans="5:20" x14ac:dyDescent="0.25"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5"/>
      <c r="R762" s="5"/>
      <c r="S762" s="5"/>
      <c r="T762" s="5"/>
    </row>
    <row r="763" spans="5:20" x14ac:dyDescent="0.25"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5"/>
      <c r="R763" s="5"/>
      <c r="S763" s="5"/>
      <c r="T763" s="5"/>
    </row>
    <row r="764" spans="5:20" x14ac:dyDescent="0.25"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5"/>
      <c r="R764" s="5"/>
      <c r="S764" s="5"/>
      <c r="T764" s="5"/>
    </row>
    <row r="765" spans="5:20" x14ac:dyDescent="0.25"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5"/>
      <c r="R765" s="5"/>
      <c r="S765" s="5"/>
      <c r="T765" s="5"/>
    </row>
    <row r="766" spans="5:20" x14ac:dyDescent="0.25"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5"/>
      <c r="R766" s="5"/>
      <c r="S766" s="5"/>
      <c r="T766" s="5"/>
    </row>
    <row r="767" spans="5:20" x14ac:dyDescent="0.25"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5"/>
      <c r="R767" s="5"/>
      <c r="S767" s="5"/>
      <c r="T767" s="5"/>
    </row>
    <row r="768" spans="5:20" x14ac:dyDescent="0.25"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5"/>
      <c r="R768" s="5"/>
      <c r="S768" s="5"/>
      <c r="T768" s="5"/>
    </row>
    <row r="769" spans="5:20" x14ac:dyDescent="0.25"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5"/>
      <c r="R769" s="5"/>
      <c r="S769" s="5"/>
      <c r="T769" s="5"/>
    </row>
    <row r="770" spans="5:20" x14ac:dyDescent="0.25"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5"/>
      <c r="R770" s="5"/>
      <c r="S770" s="5"/>
      <c r="T770" s="5"/>
    </row>
    <row r="771" spans="5:20" x14ac:dyDescent="0.25"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5"/>
      <c r="R771" s="5"/>
      <c r="S771" s="5"/>
      <c r="T771" s="5"/>
    </row>
    <row r="772" spans="5:20" x14ac:dyDescent="0.25"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5"/>
      <c r="R772" s="5"/>
      <c r="S772" s="5"/>
      <c r="T772" s="5"/>
    </row>
    <row r="773" spans="5:20" x14ac:dyDescent="0.25"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5"/>
      <c r="R773" s="5"/>
      <c r="S773" s="5"/>
      <c r="T773" s="5"/>
    </row>
    <row r="774" spans="5:20" x14ac:dyDescent="0.25"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5"/>
      <c r="R774" s="5"/>
      <c r="S774" s="5"/>
      <c r="T774" s="5"/>
    </row>
    <row r="775" spans="5:20" x14ac:dyDescent="0.25"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5"/>
      <c r="R775" s="5"/>
      <c r="S775" s="5"/>
      <c r="T775" s="5"/>
    </row>
    <row r="776" spans="5:20" x14ac:dyDescent="0.25"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5"/>
      <c r="R776" s="5"/>
      <c r="S776" s="5"/>
      <c r="T776" s="5"/>
    </row>
    <row r="777" spans="5:20" x14ac:dyDescent="0.25"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5"/>
      <c r="R777" s="5"/>
      <c r="S777" s="5"/>
      <c r="T777" s="5"/>
    </row>
    <row r="778" spans="5:20" x14ac:dyDescent="0.25"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5"/>
      <c r="R778" s="5"/>
      <c r="S778" s="5"/>
      <c r="T778" s="5"/>
    </row>
    <row r="779" spans="5:20" x14ac:dyDescent="0.25"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5"/>
      <c r="R779" s="5"/>
      <c r="S779" s="5"/>
      <c r="T779" s="5"/>
    </row>
    <row r="780" spans="5:20" x14ac:dyDescent="0.25"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5"/>
      <c r="R780" s="5"/>
      <c r="S780" s="5"/>
      <c r="T780" s="5"/>
    </row>
    <row r="781" spans="5:20" x14ac:dyDescent="0.25"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5"/>
      <c r="R781" s="5"/>
      <c r="S781" s="5"/>
      <c r="T781" s="5"/>
    </row>
    <row r="782" spans="5:20" x14ac:dyDescent="0.25"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5"/>
      <c r="R782" s="5"/>
      <c r="S782" s="5"/>
      <c r="T782" s="5"/>
    </row>
    <row r="783" spans="5:20" x14ac:dyDescent="0.25"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5"/>
      <c r="R783" s="5"/>
      <c r="S783" s="5"/>
      <c r="T783" s="5"/>
    </row>
    <row r="784" spans="5:20" x14ac:dyDescent="0.25"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5"/>
      <c r="R784" s="5"/>
      <c r="S784" s="5"/>
      <c r="T784" s="5"/>
    </row>
    <row r="785" spans="5:20" x14ac:dyDescent="0.25"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5"/>
      <c r="R785" s="5"/>
      <c r="S785" s="5"/>
      <c r="T785" s="5"/>
    </row>
    <row r="786" spans="5:20" x14ac:dyDescent="0.25"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5"/>
      <c r="R786" s="5"/>
      <c r="S786" s="5"/>
      <c r="T786" s="5"/>
    </row>
    <row r="787" spans="5:20" x14ac:dyDescent="0.25"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5"/>
      <c r="R787" s="5"/>
      <c r="S787" s="5"/>
      <c r="T787" s="5"/>
    </row>
    <row r="788" spans="5:20" x14ac:dyDescent="0.25"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5"/>
      <c r="R788" s="5"/>
      <c r="S788" s="5"/>
      <c r="T788" s="5"/>
    </row>
    <row r="789" spans="5:20" x14ac:dyDescent="0.25"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5"/>
      <c r="R789" s="5"/>
      <c r="S789" s="5"/>
      <c r="T789" s="5"/>
    </row>
    <row r="790" spans="5:20" x14ac:dyDescent="0.25"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5"/>
      <c r="R790" s="5"/>
      <c r="S790" s="5"/>
      <c r="T790" s="5"/>
    </row>
    <row r="791" spans="5:20" x14ac:dyDescent="0.25"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5"/>
      <c r="R791" s="5"/>
      <c r="S791" s="5"/>
      <c r="T791" s="5"/>
    </row>
    <row r="792" spans="5:20" x14ac:dyDescent="0.25"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5"/>
      <c r="R792" s="5"/>
      <c r="S792" s="5"/>
      <c r="T792" s="5"/>
    </row>
    <row r="793" spans="5:20" x14ac:dyDescent="0.25"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5"/>
      <c r="R793" s="5"/>
      <c r="S793" s="5"/>
      <c r="T793" s="5"/>
    </row>
    <row r="794" spans="5:20" x14ac:dyDescent="0.25"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5"/>
      <c r="R794" s="5"/>
      <c r="S794" s="5"/>
      <c r="T794" s="5"/>
    </row>
    <row r="795" spans="5:20" x14ac:dyDescent="0.25"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5"/>
      <c r="R795" s="5"/>
      <c r="S795" s="5"/>
      <c r="T795" s="5"/>
    </row>
    <row r="796" spans="5:20" x14ac:dyDescent="0.25"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5"/>
      <c r="R796" s="5"/>
      <c r="S796" s="5"/>
      <c r="T796" s="5"/>
    </row>
    <row r="797" spans="5:20" x14ac:dyDescent="0.25"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5"/>
      <c r="R797" s="5"/>
      <c r="S797" s="5"/>
      <c r="T797" s="5"/>
    </row>
    <row r="798" spans="5:20" x14ac:dyDescent="0.25"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5"/>
      <c r="R798" s="5"/>
      <c r="S798" s="5"/>
      <c r="T798" s="5"/>
    </row>
    <row r="799" spans="5:20" x14ac:dyDescent="0.25"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5"/>
      <c r="R799" s="5"/>
      <c r="S799" s="5"/>
      <c r="T799" s="5"/>
    </row>
    <row r="800" spans="5:20" x14ac:dyDescent="0.25"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5"/>
      <c r="R800" s="5"/>
      <c r="S800" s="5"/>
      <c r="T800" s="5"/>
    </row>
    <row r="801" spans="5:20" x14ac:dyDescent="0.25"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5"/>
      <c r="R801" s="5"/>
      <c r="S801" s="5"/>
      <c r="T801" s="5"/>
    </row>
    <row r="802" spans="5:20" x14ac:dyDescent="0.25"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5"/>
      <c r="R802" s="5"/>
      <c r="S802" s="5"/>
      <c r="T802" s="5"/>
    </row>
    <row r="803" spans="5:20" x14ac:dyDescent="0.25"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5"/>
      <c r="R803" s="5"/>
      <c r="S803" s="5"/>
      <c r="T803" s="5"/>
    </row>
    <row r="804" spans="5:20" x14ac:dyDescent="0.25"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5"/>
      <c r="R804" s="5"/>
      <c r="S804" s="5"/>
      <c r="T804" s="5"/>
    </row>
    <row r="805" spans="5:20" x14ac:dyDescent="0.25"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5"/>
      <c r="R805" s="5"/>
      <c r="S805" s="5"/>
      <c r="T805" s="5"/>
    </row>
    <row r="806" spans="5:20" x14ac:dyDescent="0.25"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5"/>
      <c r="R806" s="5"/>
      <c r="S806" s="5"/>
      <c r="T806" s="5"/>
    </row>
    <row r="807" spans="5:20" x14ac:dyDescent="0.25"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5"/>
      <c r="R807" s="5"/>
      <c r="S807" s="5"/>
      <c r="T807" s="5"/>
    </row>
    <row r="808" spans="5:20" x14ac:dyDescent="0.25"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5"/>
      <c r="R808" s="5"/>
      <c r="S808" s="5"/>
      <c r="T808" s="5"/>
    </row>
    <row r="809" spans="5:20" x14ac:dyDescent="0.25"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5"/>
      <c r="R809" s="5"/>
      <c r="S809" s="5"/>
      <c r="T809" s="5"/>
    </row>
    <row r="810" spans="5:20" x14ac:dyDescent="0.25"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5"/>
      <c r="R810" s="5"/>
      <c r="S810" s="5"/>
      <c r="T810" s="5"/>
    </row>
    <row r="811" spans="5:20" x14ac:dyDescent="0.25"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5"/>
      <c r="R811" s="5"/>
      <c r="S811" s="5"/>
      <c r="T811" s="5"/>
    </row>
    <row r="812" spans="5:20" x14ac:dyDescent="0.25"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5"/>
      <c r="R812" s="5"/>
      <c r="S812" s="5"/>
      <c r="T812" s="5"/>
    </row>
    <row r="813" spans="5:20" x14ac:dyDescent="0.25"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5"/>
      <c r="R813" s="5"/>
      <c r="S813" s="5"/>
      <c r="T813" s="5"/>
    </row>
    <row r="814" spans="5:20" x14ac:dyDescent="0.25"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5"/>
      <c r="R814" s="5"/>
      <c r="S814" s="5"/>
      <c r="T814" s="5"/>
    </row>
    <row r="815" spans="5:20" x14ac:dyDescent="0.25"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5"/>
      <c r="R815" s="5"/>
      <c r="S815" s="5"/>
      <c r="T815" s="5"/>
    </row>
    <row r="816" spans="5:20" x14ac:dyDescent="0.25"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5"/>
      <c r="R816" s="5"/>
      <c r="S816" s="5"/>
      <c r="T816" s="5"/>
    </row>
    <row r="817" spans="5:20" x14ac:dyDescent="0.25"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5"/>
      <c r="R817" s="5"/>
      <c r="S817" s="5"/>
      <c r="T817" s="5"/>
    </row>
    <row r="818" spans="5:20" x14ac:dyDescent="0.25"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5"/>
      <c r="R818" s="5"/>
      <c r="S818" s="5"/>
      <c r="T818" s="5"/>
    </row>
    <row r="819" spans="5:20" x14ac:dyDescent="0.25"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5"/>
      <c r="R819" s="5"/>
      <c r="S819" s="5"/>
      <c r="T819" s="5"/>
    </row>
    <row r="820" spans="5:20" x14ac:dyDescent="0.25"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5"/>
      <c r="R820" s="5"/>
      <c r="S820" s="5"/>
      <c r="T820" s="5"/>
    </row>
    <row r="821" spans="5:20" x14ac:dyDescent="0.25"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5"/>
      <c r="R821" s="5"/>
      <c r="S821" s="5"/>
      <c r="T821" s="5"/>
    </row>
    <row r="822" spans="5:20" x14ac:dyDescent="0.25"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5"/>
      <c r="R822" s="5"/>
      <c r="S822" s="5"/>
      <c r="T822" s="5"/>
    </row>
    <row r="823" spans="5:20" x14ac:dyDescent="0.25"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5"/>
      <c r="R823" s="5"/>
      <c r="S823" s="5"/>
      <c r="T823" s="5"/>
    </row>
    <row r="824" spans="5:20" x14ac:dyDescent="0.25"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5"/>
      <c r="R824" s="5"/>
      <c r="S824" s="5"/>
      <c r="T824" s="5"/>
    </row>
    <row r="825" spans="5:20" x14ac:dyDescent="0.25"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5"/>
      <c r="R825" s="5"/>
      <c r="S825" s="5"/>
      <c r="T825" s="5"/>
    </row>
    <row r="826" spans="5:20" x14ac:dyDescent="0.25"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5"/>
      <c r="R826" s="5"/>
      <c r="S826" s="5"/>
      <c r="T826" s="5"/>
    </row>
    <row r="827" spans="5:20" x14ac:dyDescent="0.25"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5"/>
      <c r="R827" s="5"/>
      <c r="S827" s="5"/>
      <c r="T827" s="5"/>
    </row>
    <row r="828" spans="5:20" x14ac:dyDescent="0.25"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5"/>
      <c r="R828" s="5"/>
      <c r="S828" s="5"/>
      <c r="T828" s="5"/>
    </row>
    <row r="829" spans="5:20" x14ac:dyDescent="0.25"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5"/>
      <c r="R829" s="5"/>
      <c r="S829" s="5"/>
      <c r="T829" s="5"/>
    </row>
    <row r="830" spans="5:20" x14ac:dyDescent="0.25"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5"/>
      <c r="R830" s="5"/>
      <c r="S830" s="5"/>
      <c r="T830" s="5"/>
    </row>
    <row r="831" spans="5:20" x14ac:dyDescent="0.25"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5"/>
      <c r="R831" s="5"/>
      <c r="S831" s="5"/>
      <c r="T831" s="5"/>
    </row>
    <row r="832" spans="5:20" x14ac:dyDescent="0.25"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5"/>
      <c r="R832" s="5"/>
      <c r="S832" s="5"/>
      <c r="T832" s="5"/>
    </row>
    <row r="833" spans="5:20" x14ac:dyDescent="0.25"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5"/>
      <c r="R833" s="5"/>
      <c r="S833" s="5"/>
      <c r="T833" s="5"/>
    </row>
    <row r="834" spans="5:20" x14ac:dyDescent="0.25"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5"/>
      <c r="R834" s="5"/>
      <c r="S834" s="5"/>
      <c r="T834" s="5"/>
    </row>
    <row r="835" spans="5:20" x14ac:dyDescent="0.25"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5"/>
      <c r="R835" s="5"/>
      <c r="S835" s="5"/>
      <c r="T835" s="5"/>
    </row>
    <row r="836" spans="5:20" x14ac:dyDescent="0.25"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5"/>
      <c r="R836" s="5"/>
      <c r="S836" s="5"/>
      <c r="T836" s="5"/>
    </row>
    <row r="837" spans="5:20" x14ac:dyDescent="0.25"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5"/>
      <c r="R837" s="5"/>
      <c r="S837" s="5"/>
      <c r="T837" s="5"/>
    </row>
    <row r="838" spans="5:20" x14ac:dyDescent="0.25"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5"/>
      <c r="R838" s="5"/>
      <c r="S838" s="5"/>
      <c r="T838" s="5"/>
    </row>
    <row r="839" spans="5:20" x14ac:dyDescent="0.25"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5"/>
      <c r="R839" s="5"/>
      <c r="S839" s="5"/>
      <c r="T839" s="5"/>
    </row>
    <row r="840" spans="5:20" x14ac:dyDescent="0.25"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5"/>
      <c r="R840" s="5"/>
      <c r="S840" s="5"/>
      <c r="T840" s="5"/>
    </row>
    <row r="841" spans="5:20" x14ac:dyDescent="0.25"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5"/>
      <c r="R841" s="5"/>
      <c r="S841" s="5"/>
      <c r="T841" s="5"/>
    </row>
    <row r="842" spans="5:20" x14ac:dyDescent="0.25"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5"/>
      <c r="R842" s="5"/>
      <c r="S842" s="5"/>
      <c r="T842" s="5"/>
    </row>
    <row r="843" spans="5:20" x14ac:dyDescent="0.25"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5"/>
      <c r="R843" s="5"/>
      <c r="S843" s="5"/>
      <c r="T843" s="5"/>
    </row>
    <row r="844" spans="5:20" x14ac:dyDescent="0.25"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5"/>
      <c r="R844" s="5"/>
      <c r="S844" s="5"/>
      <c r="T844" s="5"/>
    </row>
    <row r="845" spans="5:20" x14ac:dyDescent="0.25"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5"/>
      <c r="R845" s="5"/>
      <c r="S845" s="5"/>
      <c r="T845" s="5"/>
    </row>
    <row r="846" spans="5:20" x14ac:dyDescent="0.25"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5"/>
      <c r="R846" s="5"/>
      <c r="S846" s="5"/>
      <c r="T846" s="5"/>
    </row>
    <row r="847" spans="5:20" x14ac:dyDescent="0.25"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5"/>
      <c r="R847" s="5"/>
      <c r="S847" s="5"/>
      <c r="T847" s="5"/>
    </row>
    <row r="848" spans="5:20" x14ac:dyDescent="0.25"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5"/>
      <c r="R848" s="5"/>
      <c r="S848" s="5"/>
      <c r="T848" s="5"/>
    </row>
    <row r="849" spans="5:20" x14ac:dyDescent="0.25"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5"/>
      <c r="R849" s="5"/>
      <c r="S849" s="5"/>
      <c r="T849" s="5"/>
    </row>
    <row r="850" spans="5:20" x14ac:dyDescent="0.25"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5"/>
      <c r="R850" s="5"/>
      <c r="S850" s="5"/>
      <c r="T850" s="5"/>
    </row>
    <row r="851" spans="5:20" x14ac:dyDescent="0.25"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5"/>
      <c r="R851" s="5"/>
      <c r="S851" s="5"/>
      <c r="T851" s="5"/>
    </row>
    <row r="852" spans="5:20" x14ac:dyDescent="0.25"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5"/>
      <c r="R852" s="5"/>
      <c r="S852" s="5"/>
      <c r="T852" s="5"/>
    </row>
    <row r="853" spans="5:20" x14ac:dyDescent="0.25"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5"/>
      <c r="R853" s="5"/>
      <c r="S853" s="5"/>
      <c r="T853" s="5"/>
    </row>
    <row r="854" spans="5:20" x14ac:dyDescent="0.25"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5"/>
      <c r="R854" s="5"/>
      <c r="S854" s="5"/>
      <c r="T854" s="5"/>
    </row>
    <row r="855" spans="5:20" x14ac:dyDescent="0.25"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5"/>
      <c r="R855" s="5"/>
      <c r="S855" s="5"/>
      <c r="T855" s="5"/>
    </row>
    <row r="856" spans="5:20" x14ac:dyDescent="0.25"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5"/>
      <c r="R856" s="5"/>
      <c r="S856" s="5"/>
      <c r="T856" s="5"/>
    </row>
    <row r="857" spans="5:20" x14ac:dyDescent="0.25"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5"/>
      <c r="R857" s="5"/>
      <c r="S857" s="5"/>
      <c r="T857" s="5"/>
    </row>
    <row r="858" spans="5:20" x14ac:dyDescent="0.25"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5"/>
      <c r="R858" s="5"/>
      <c r="S858" s="5"/>
      <c r="T858" s="5"/>
    </row>
    <row r="859" spans="5:20" x14ac:dyDescent="0.25"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5"/>
      <c r="R859" s="5"/>
      <c r="S859" s="5"/>
      <c r="T859" s="5"/>
    </row>
    <row r="860" spans="5:20" x14ac:dyDescent="0.25"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5"/>
      <c r="R860" s="5"/>
      <c r="S860" s="5"/>
      <c r="T860" s="5"/>
    </row>
    <row r="861" spans="5:20" x14ac:dyDescent="0.25"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5"/>
      <c r="R861" s="5"/>
      <c r="S861" s="5"/>
      <c r="T861" s="5"/>
    </row>
    <row r="862" spans="5:20" x14ac:dyDescent="0.25"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5"/>
      <c r="R862" s="5"/>
      <c r="S862" s="5"/>
      <c r="T862" s="5"/>
    </row>
    <row r="863" spans="5:20" x14ac:dyDescent="0.25"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5"/>
      <c r="R863" s="5"/>
      <c r="S863" s="5"/>
      <c r="T863" s="5"/>
    </row>
    <row r="864" spans="5:20" x14ac:dyDescent="0.25"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5"/>
      <c r="R864" s="5"/>
      <c r="S864" s="5"/>
      <c r="T864" s="5"/>
    </row>
    <row r="865" spans="5:20" x14ac:dyDescent="0.25"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5"/>
      <c r="R865" s="5"/>
      <c r="S865" s="5"/>
      <c r="T865" s="5"/>
    </row>
    <row r="866" spans="5:20" x14ac:dyDescent="0.25"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5"/>
      <c r="R866" s="5"/>
      <c r="S866" s="5"/>
      <c r="T866" s="5"/>
    </row>
    <row r="867" spans="5:20" x14ac:dyDescent="0.25"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5"/>
      <c r="R867" s="5"/>
      <c r="S867" s="5"/>
      <c r="T867" s="5"/>
    </row>
    <row r="868" spans="5:20" x14ac:dyDescent="0.25"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5"/>
      <c r="R868" s="5"/>
      <c r="S868" s="5"/>
      <c r="T868" s="5"/>
    </row>
    <row r="869" spans="5:20" x14ac:dyDescent="0.25"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5"/>
      <c r="R869" s="5"/>
      <c r="S869" s="5"/>
      <c r="T869" s="5"/>
    </row>
    <row r="870" spans="5:20" x14ac:dyDescent="0.25"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5"/>
      <c r="R870" s="5"/>
      <c r="S870" s="5"/>
      <c r="T870" s="5"/>
    </row>
    <row r="871" spans="5:20" x14ac:dyDescent="0.25"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5"/>
      <c r="R871" s="5"/>
      <c r="S871" s="5"/>
      <c r="T871" s="5"/>
    </row>
    <row r="872" spans="5:20" x14ac:dyDescent="0.25"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5"/>
      <c r="R872" s="5"/>
      <c r="S872" s="5"/>
      <c r="T872" s="5"/>
    </row>
    <row r="873" spans="5:20" x14ac:dyDescent="0.25"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5"/>
      <c r="R873" s="5"/>
      <c r="S873" s="5"/>
      <c r="T873" s="5"/>
    </row>
    <row r="874" spans="5:20" x14ac:dyDescent="0.25"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5"/>
      <c r="R874" s="5"/>
      <c r="S874" s="5"/>
      <c r="T874" s="5"/>
    </row>
    <row r="875" spans="5:20" x14ac:dyDescent="0.25"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5"/>
      <c r="R875" s="5"/>
      <c r="S875" s="5"/>
      <c r="T875" s="5"/>
    </row>
    <row r="876" spans="5:20" x14ac:dyDescent="0.25"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5"/>
      <c r="R876" s="5"/>
      <c r="S876" s="5"/>
      <c r="T876" s="5"/>
    </row>
    <row r="877" spans="5:20" x14ac:dyDescent="0.25"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5"/>
      <c r="R877" s="5"/>
      <c r="S877" s="5"/>
      <c r="T877" s="5"/>
    </row>
    <row r="878" spans="5:20" x14ac:dyDescent="0.25"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5"/>
      <c r="R878" s="5"/>
      <c r="S878" s="5"/>
      <c r="T878" s="5"/>
    </row>
    <row r="879" spans="5:20" x14ac:dyDescent="0.25"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5"/>
      <c r="R879" s="5"/>
      <c r="S879" s="5"/>
      <c r="T879" s="5"/>
    </row>
    <row r="880" spans="5:20" x14ac:dyDescent="0.25"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5"/>
      <c r="R880" s="5"/>
      <c r="S880" s="5"/>
      <c r="T880" s="5"/>
    </row>
    <row r="881" spans="5:20" x14ac:dyDescent="0.25"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5"/>
      <c r="R881" s="5"/>
      <c r="S881" s="5"/>
      <c r="T881" s="5"/>
    </row>
    <row r="882" spans="5:20" x14ac:dyDescent="0.25"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5"/>
      <c r="R882" s="5"/>
      <c r="S882" s="5"/>
      <c r="T882" s="5"/>
    </row>
    <row r="883" spans="5:20" x14ac:dyDescent="0.25"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5"/>
      <c r="R883" s="5"/>
      <c r="S883" s="5"/>
      <c r="T883" s="5"/>
    </row>
    <row r="884" spans="5:20" x14ac:dyDescent="0.25"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5"/>
      <c r="R884" s="5"/>
      <c r="S884" s="5"/>
      <c r="T884" s="5"/>
    </row>
    <row r="885" spans="5:20" x14ac:dyDescent="0.25"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5"/>
      <c r="R885" s="5"/>
      <c r="S885" s="5"/>
      <c r="T885" s="5"/>
    </row>
    <row r="886" spans="5:20" x14ac:dyDescent="0.25"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5"/>
      <c r="R886" s="5"/>
      <c r="S886" s="5"/>
      <c r="T886" s="5"/>
    </row>
    <row r="887" spans="5:20" x14ac:dyDescent="0.25"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5"/>
      <c r="R887" s="5"/>
      <c r="S887" s="5"/>
      <c r="T887" s="5"/>
    </row>
    <row r="888" spans="5:20" x14ac:dyDescent="0.25"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5"/>
      <c r="R888" s="5"/>
      <c r="S888" s="5"/>
      <c r="T888" s="5"/>
    </row>
    <row r="889" spans="5:20" x14ac:dyDescent="0.25"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5"/>
      <c r="R889" s="5"/>
      <c r="S889" s="5"/>
      <c r="T889" s="5"/>
    </row>
    <row r="890" spans="5:20" x14ac:dyDescent="0.25"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5"/>
      <c r="R890" s="5"/>
      <c r="S890" s="5"/>
      <c r="T890" s="5"/>
    </row>
    <row r="891" spans="5:20" x14ac:dyDescent="0.25"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5"/>
      <c r="R891" s="5"/>
      <c r="S891" s="5"/>
      <c r="T891" s="5"/>
    </row>
    <row r="892" spans="5:20" x14ac:dyDescent="0.25"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5"/>
      <c r="R892" s="5"/>
      <c r="S892" s="5"/>
      <c r="T892" s="5"/>
    </row>
    <row r="893" spans="5:20" x14ac:dyDescent="0.25"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5"/>
      <c r="R893" s="5"/>
      <c r="S893" s="5"/>
      <c r="T893" s="5"/>
    </row>
    <row r="894" spans="5:20" x14ac:dyDescent="0.25"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5"/>
      <c r="R894" s="5"/>
      <c r="S894" s="5"/>
      <c r="T894" s="5"/>
    </row>
    <row r="895" spans="5:20" x14ac:dyDescent="0.25"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5"/>
      <c r="R895" s="5"/>
      <c r="S895" s="5"/>
      <c r="T895" s="5"/>
    </row>
    <row r="896" spans="5:20" x14ac:dyDescent="0.25"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5"/>
      <c r="R896" s="5"/>
      <c r="S896" s="5"/>
      <c r="T896" s="5"/>
    </row>
    <row r="897" spans="5:20" x14ac:dyDescent="0.25"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5"/>
      <c r="R897" s="5"/>
      <c r="S897" s="5"/>
      <c r="T897" s="5"/>
    </row>
    <row r="898" spans="5:20" x14ac:dyDescent="0.25"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5"/>
      <c r="R898" s="5"/>
      <c r="S898" s="5"/>
      <c r="T898" s="5"/>
    </row>
    <row r="899" spans="5:20" x14ac:dyDescent="0.25"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5"/>
      <c r="R899" s="5"/>
      <c r="S899" s="5"/>
      <c r="T899" s="5"/>
    </row>
    <row r="900" spans="5:20" x14ac:dyDescent="0.25"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5"/>
      <c r="R900" s="5"/>
      <c r="S900" s="5"/>
      <c r="T900" s="5"/>
    </row>
    <row r="901" spans="5:20" x14ac:dyDescent="0.25"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5"/>
      <c r="R901" s="5"/>
      <c r="S901" s="5"/>
      <c r="T901" s="5"/>
    </row>
    <row r="902" spans="5:20" x14ac:dyDescent="0.25"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5"/>
      <c r="R902" s="5"/>
      <c r="S902" s="5"/>
      <c r="T902" s="5"/>
    </row>
    <row r="903" spans="5:20" x14ac:dyDescent="0.25"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5"/>
      <c r="R903" s="5"/>
      <c r="S903" s="5"/>
      <c r="T903" s="5"/>
    </row>
    <row r="904" spans="5:20" x14ac:dyDescent="0.25"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5"/>
      <c r="R904" s="5"/>
      <c r="S904" s="5"/>
      <c r="T904" s="5"/>
    </row>
    <row r="905" spans="5:20" x14ac:dyDescent="0.25"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5"/>
      <c r="R905" s="5"/>
      <c r="S905" s="5"/>
      <c r="T905" s="5"/>
    </row>
    <row r="906" spans="5:20" x14ac:dyDescent="0.25"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5"/>
      <c r="R906" s="5"/>
      <c r="S906" s="5"/>
      <c r="T906" s="5"/>
    </row>
    <row r="907" spans="5:20" x14ac:dyDescent="0.25"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5"/>
      <c r="R907" s="5"/>
      <c r="S907" s="5"/>
      <c r="T907" s="5"/>
    </row>
    <row r="908" spans="5:20" x14ac:dyDescent="0.25"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5"/>
      <c r="R908" s="5"/>
      <c r="S908" s="5"/>
      <c r="T908" s="5"/>
    </row>
    <row r="909" spans="5:20" x14ac:dyDescent="0.25"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5"/>
      <c r="R909" s="5"/>
      <c r="S909" s="5"/>
      <c r="T909" s="5"/>
    </row>
    <row r="910" spans="5:20" x14ac:dyDescent="0.25"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5"/>
      <c r="R910" s="5"/>
      <c r="S910" s="5"/>
      <c r="T910" s="5"/>
    </row>
    <row r="911" spans="5:20" x14ac:dyDescent="0.25"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5"/>
      <c r="R911" s="5"/>
      <c r="S911" s="5"/>
      <c r="T911" s="5"/>
    </row>
    <row r="912" spans="5:20" x14ac:dyDescent="0.25"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5"/>
      <c r="R912" s="5"/>
      <c r="S912" s="5"/>
      <c r="T912" s="5"/>
    </row>
    <row r="913" spans="5:20" x14ac:dyDescent="0.25"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5"/>
      <c r="R913" s="5"/>
      <c r="S913" s="5"/>
      <c r="T913" s="5"/>
    </row>
    <row r="914" spans="5:20" x14ac:dyDescent="0.25"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5"/>
      <c r="R914" s="5"/>
      <c r="S914" s="5"/>
      <c r="T914" s="5"/>
    </row>
    <row r="915" spans="5:20" x14ac:dyDescent="0.25"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5"/>
      <c r="R915" s="5"/>
      <c r="S915" s="5"/>
      <c r="T915" s="5"/>
    </row>
    <row r="916" spans="5:20" x14ac:dyDescent="0.25"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5"/>
      <c r="R916" s="5"/>
      <c r="S916" s="5"/>
      <c r="T916" s="5"/>
    </row>
    <row r="917" spans="5:20" x14ac:dyDescent="0.25"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5"/>
      <c r="R917" s="5"/>
      <c r="S917" s="5"/>
      <c r="T917" s="5"/>
    </row>
    <row r="918" spans="5:20" x14ac:dyDescent="0.25"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5"/>
      <c r="R918" s="5"/>
      <c r="S918" s="5"/>
      <c r="T918" s="5"/>
    </row>
    <row r="919" spans="5:20" x14ac:dyDescent="0.25"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5"/>
      <c r="R919" s="5"/>
      <c r="S919" s="5"/>
      <c r="T919" s="5"/>
    </row>
    <row r="920" spans="5:20" x14ac:dyDescent="0.25"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5"/>
      <c r="R920" s="5"/>
      <c r="S920" s="5"/>
      <c r="T920" s="5"/>
    </row>
    <row r="921" spans="5:20" x14ac:dyDescent="0.25"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5"/>
      <c r="R921" s="5"/>
      <c r="S921" s="5"/>
      <c r="T921" s="5"/>
    </row>
    <row r="922" spans="5:20" x14ac:dyDescent="0.25"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5"/>
      <c r="R922" s="5"/>
      <c r="S922" s="5"/>
      <c r="T922" s="5"/>
    </row>
    <row r="923" spans="5:20" x14ac:dyDescent="0.25"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5"/>
      <c r="R923" s="5"/>
      <c r="S923" s="5"/>
      <c r="T923" s="5"/>
    </row>
    <row r="924" spans="5:20" x14ac:dyDescent="0.25"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5"/>
      <c r="R924" s="5"/>
      <c r="S924" s="5"/>
      <c r="T924" s="5"/>
    </row>
    <row r="925" spans="5:20" x14ac:dyDescent="0.25"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5"/>
      <c r="R925" s="5"/>
      <c r="S925" s="5"/>
      <c r="T925" s="5"/>
    </row>
    <row r="926" spans="5:20" x14ac:dyDescent="0.25"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5"/>
      <c r="R926" s="5"/>
      <c r="S926" s="5"/>
      <c r="T926" s="5"/>
    </row>
    <row r="927" spans="5:20" x14ac:dyDescent="0.25"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5"/>
      <c r="R927" s="5"/>
      <c r="S927" s="5"/>
      <c r="T927" s="5"/>
    </row>
    <row r="928" spans="5:20" x14ac:dyDescent="0.25"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5"/>
      <c r="R928" s="5"/>
      <c r="S928" s="5"/>
      <c r="T928" s="5"/>
    </row>
    <row r="929" spans="5:20" x14ac:dyDescent="0.25"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5"/>
      <c r="R929" s="5"/>
      <c r="S929" s="5"/>
      <c r="T929" s="5"/>
    </row>
    <row r="930" spans="5:20" x14ac:dyDescent="0.25"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5"/>
      <c r="R930" s="5"/>
      <c r="S930" s="5"/>
      <c r="T930" s="5"/>
    </row>
    <row r="931" spans="5:20" x14ac:dyDescent="0.25"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5"/>
      <c r="R931" s="5"/>
      <c r="S931" s="5"/>
      <c r="T931" s="5"/>
    </row>
    <row r="932" spans="5:20" x14ac:dyDescent="0.25"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5"/>
      <c r="R932" s="5"/>
      <c r="S932" s="5"/>
      <c r="T932" s="5"/>
    </row>
    <row r="933" spans="5:20" x14ac:dyDescent="0.25"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5"/>
      <c r="R933" s="5"/>
      <c r="S933" s="5"/>
      <c r="T933" s="5"/>
    </row>
    <row r="934" spans="5:20" x14ac:dyDescent="0.25"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5"/>
      <c r="R934" s="5"/>
      <c r="S934" s="5"/>
      <c r="T934" s="5"/>
    </row>
    <row r="935" spans="5:20" x14ac:dyDescent="0.25"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5"/>
      <c r="R935" s="5"/>
      <c r="S935" s="5"/>
      <c r="T935" s="5"/>
    </row>
    <row r="936" spans="5:20" x14ac:dyDescent="0.25"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5"/>
      <c r="R936" s="5"/>
      <c r="S936" s="5"/>
      <c r="T936" s="5"/>
    </row>
    <row r="937" spans="5:20" x14ac:dyDescent="0.25"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5"/>
      <c r="R937" s="5"/>
      <c r="S937" s="5"/>
      <c r="T937" s="5"/>
    </row>
    <row r="938" spans="5:20" x14ac:dyDescent="0.25"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5"/>
      <c r="R938" s="5"/>
      <c r="S938" s="5"/>
      <c r="T938" s="5"/>
    </row>
    <row r="939" spans="5:20" x14ac:dyDescent="0.25"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5"/>
      <c r="R939" s="5"/>
      <c r="S939" s="5"/>
      <c r="T939" s="5"/>
    </row>
    <row r="940" spans="5:20" x14ac:dyDescent="0.25"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5"/>
      <c r="R940" s="5"/>
      <c r="S940" s="5"/>
      <c r="T940" s="5"/>
    </row>
    <row r="941" spans="5:20" x14ac:dyDescent="0.25"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5"/>
      <c r="R941" s="5"/>
      <c r="S941" s="5"/>
      <c r="T941" s="5"/>
    </row>
    <row r="942" spans="5:20" x14ac:dyDescent="0.25"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5"/>
      <c r="R942" s="5"/>
      <c r="S942" s="5"/>
      <c r="T942" s="5"/>
    </row>
    <row r="943" spans="5:20" x14ac:dyDescent="0.25"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5"/>
      <c r="R943" s="5"/>
      <c r="S943" s="5"/>
      <c r="T943" s="5"/>
    </row>
    <row r="944" spans="5:20" x14ac:dyDescent="0.25"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5"/>
      <c r="R944" s="5"/>
      <c r="S944" s="5"/>
      <c r="T944" s="5"/>
    </row>
    <row r="945" spans="5:20" x14ac:dyDescent="0.25"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5"/>
      <c r="R945" s="5"/>
      <c r="S945" s="5"/>
      <c r="T945" s="5"/>
    </row>
    <row r="946" spans="5:20" x14ac:dyDescent="0.25"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5"/>
      <c r="R946" s="5"/>
      <c r="S946" s="5"/>
      <c r="T946" s="5"/>
    </row>
    <row r="947" spans="5:20" x14ac:dyDescent="0.25"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5"/>
      <c r="R947" s="5"/>
      <c r="S947" s="5"/>
      <c r="T947" s="5"/>
    </row>
    <row r="948" spans="5:20" x14ac:dyDescent="0.25"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5"/>
      <c r="R948" s="5"/>
      <c r="S948" s="5"/>
      <c r="T948" s="5"/>
    </row>
    <row r="949" spans="5:20" x14ac:dyDescent="0.25"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5"/>
      <c r="R949" s="5"/>
      <c r="S949" s="5"/>
      <c r="T949" s="5"/>
    </row>
    <row r="950" spans="5:20" x14ac:dyDescent="0.25"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5"/>
      <c r="R950" s="5"/>
      <c r="S950" s="5"/>
      <c r="T950" s="5"/>
    </row>
    <row r="951" spans="5:20" x14ac:dyDescent="0.25"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5"/>
      <c r="R951" s="5"/>
      <c r="S951" s="5"/>
      <c r="T951" s="5"/>
    </row>
    <row r="952" spans="5:20" x14ac:dyDescent="0.25"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5"/>
      <c r="R952" s="5"/>
      <c r="S952" s="5"/>
      <c r="T952" s="5"/>
    </row>
    <row r="953" spans="5:20" x14ac:dyDescent="0.25"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5"/>
      <c r="R953" s="5"/>
      <c r="S953" s="5"/>
      <c r="T953" s="5"/>
    </row>
    <row r="954" spans="5:20" x14ac:dyDescent="0.25"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5"/>
      <c r="R954" s="5"/>
      <c r="S954" s="5"/>
      <c r="T954" s="5"/>
    </row>
    <row r="955" spans="5:20" x14ac:dyDescent="0.25"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5"/>
      <c r="R955" s="5"/>
      <c r="S955" s="5"/>
      <c r="T955" s="5"/>
    </row>
    <row r="956" spans="5:20" x14ac:dyDescent="0.25"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5"/>
      <c r="R956" s="5"/>
      <c r="S956" s="5"/>
      <c r="T956" s="5"/>
    </row>
    <row r="957" spans="5:20" x14ac:dyDescent="0.25"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5"/>
      <c r="R957" s="5"/>
      <c r="S957" s="5"/>
      <c r="T957" s="5"/>
    </row>
    <row r="958" spans="5:20" x14ac:dyDescent="0.25"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5"/>
      <c r="R958" s="5"/>
      <c r="S958" s="5"/>
      <c r="T958" s="5"/>
    </row>
    <row r="959" spans="5:20" x14ac:dyDescent="0.25"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5"/>
      <c r="R959" s="5"/>
      <c r="S959" s="5"/>
      <c r="T959" s="5"/>
    </row>
    <row r="960" spans="5:20" x14ac:dyDescent="0.25"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5"/>
      <c r="R960" s="5"/>
      <c r="S960" s="5"/>
      <c r="T960" s="5"/>
    </row>
    <row r="961" spans="5:20" x14ac:dyDescent="0.25"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5"/>
      <c r="R961" s="5"/>
      <c r="S961" s="5"/>
      <c r="T961" s="5"/>
    </row>
    <row r="962" spans="5:20" x14ac:dyDescent="0.25"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5"/>
      <c r="R962" s="5"/>
      <c r="S962" s="5"/>
      <c r="T962" s="5"/>
    </row>
    <row r="963" spans="5:20" x14ac:dyDescent="0.25"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5"/>
      <c r="R963" s="5"/>
      <c r="S963" s="5"/>
      <c r="T963" s="5"/>
    </row>
    <row r="964" spans="5:20" x14ac:dyDescent="0.25"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5"/>
      <c r="R964" s="5"/>
      <c r="S964" s="5"/>
      <c r="T964" s="5"/>
    </row>
    <row r="965" spans="5:20" x14ac:dyDescent="0.25"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5"/>
      <c r="R965" s="5"/>
      <c r="S965" s="5"/>
      <c r="T965" s="5"/>
    </row>
    <row r="966" spans="5:20" x14ac:dyDescent="0.25"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5"/>
      <c r="R966" s="5"/>
      <c r="S966" s="5"/>
      <c r="T966" s="5"/>
    </row>
    <row r="967" spans="5:20" x14ac:dyDescent="0.25"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5"/>
      <c r="R967" s="5"/>
      <c r="S967" s="5"/>
      <c r="T967" s="5"/>
    </row>
    <row r="968" spans="5:20" x14ac:dyDescent="0.25"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5"/>
      <c r="R968" s="5"/>
      <c r="S968" s="5"/>
      <c r="T968" s="5"/>
    </row>
    <row r="969" spans="5:20" x14ac:dyDescent="0.25"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5"/>
      <c r="R969" s="5"/>
      <c r="S969" s="5"/>
      <c r="T969" s="5"/>
    </row>
    <row r="970" spans="5:20" x14ac:dyDescent="0.25"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5"/>
      <c r="R970" s="5"/>
      <c r="S970" s="5"/>
      <c r="T970" s="5"/>
    </row>
    <row r="971" spans="5:20" x14ac:dyDescent="0.25"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5"/>
      <c r="R971" s="5"/>
      <c r="S971" s="5"/>
      <c r="T971" s="5"/>
    </row>
    <row r="972" spans="5:20" x14ac:dyDescent="0.25"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5"/>
      <c r="R972" s="5"/>
      <c r="S972" s="5"/>
      <c r="T972" s="5"/>
    </row>
    <row r="973" spans="5:20" x14ac:dyDescent="0.25"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5"/>
      <c r="R973" s="5"/>
      <c r="S973" s="5"/>
      <c r="T973" s="5"/>
    </row>
    <row r="974" spans="5:20" x14ac:dyDescent="0.25"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5"/>
      <c r="R974" s="5"/>
      <c r="S974" s="5"/>
      <c r="T974" s="5"/>
    </row>
    <row r="975" spans="5:20" x14ac:dyDescent="0.25"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5"/>
      <c r="R975" s="5"/>
      <c r="S975" s="5"/>
      <c r="T975" s="5"/>
    </row>
    <row r="976" spans="5:20" x14ac:dyDescent="0.25"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5"/>
      <c r="R976" s="5"/>
      <c r="S976" s="5"/>
      <c r="T976" s="5"/>
    </row>
    <row r="977" spans="5:20" x14ac:dyDescent="0.25"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5"/>
      <c r="R977" s="5"/>
      <c r="S977" s="5"/>
      <c r="T977" s="5"/>
    </row>
    <row r="978" spans="5:20" x14ac:dyDescent="0.25"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5"/>
      <c r="R978" s="5"/>
      <c r="S978" s="5"/>
      <c r="T978" s="5"/>
    </row>
    <row r="979" spans="5:20" x14ac:dyDescent="0.25"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5"/>
      <c r="R979" s="5"/>
      <c r="S979" s="5"/>
      <c r="T979" s="5"/>
    </row>
    <row r="980" spans="5:20" x14ac:dyDescent="0.25"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5"/>
      <c r="R980" s="5"/>
      <c r="S980" s="5"/>
      <c r="T980" s="5"/>
    </row>
    <row r="981" spans="5:20" x14ac:dyDescent="0.25"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5"/>
      <c r="R981" s="5"/>
      <c r="S981" s="5"/>
      <c r="T981" s="5"/>
    </row>
    <row r="982" spans="5:20" x14ac:dyDescent="0.25"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5"/>
      <c r="R982" s="5"/>
      <c r="S982" s="5"/>
      <c r="T982" s="5"/>
    </row>
    <row r="983" spans="5:20" x14ac:dyDescent="0.25"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5"/>
      <c r="R983" s="5"/>
      <c r="S983" s="5"/>
      <c r="T983" s="5"/>
    </row>
    <row r="984" spans="5:20" x14ac:dyDescent="0.25"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5"/>
      <c r="R984" s="5"/>
      <c r="S984" s="5"/>
      <c r="T984" s="5"/>
    </row>
    <row r="985" spans="5:20" x14ac:dyDescent="0.25"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5"/>
      <c r="R985" s="5"/>
      <c r="S985" s="5"/>
      <c r="T985" s="5"/>
    </row>
    <row r="986" spans="5:20" x14ac:dyDescent="0.25"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5"/>
      <c r="R986" s="5"/>
      <c r="S986" s="5"/>
      <c r="T986" s="5"/>
    </row>
    <row r="987" spans="5:20" x14ac:dyDescent="0.25"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5"/>
      <c r="R987" s="5"/>
      <c r="S987" s="5"/>
      <c r="T987" s="5"/>
    </row>
    <row r="988" spans="5:20" x14ac:dyDescent="0.25"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5"/>
      <c r="R988" s="5"/>
      <c r="S988" s="5"/>
      <c r="T988" s="5"/>
    </row>
    <row r="989" spans="5:20" x14ac:dyDescent="0.25"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5"/>
      <c r="R989" s="5"/>
      <c r="S989" s="5"/>
      <c r="T989" s="5"/>
    </row>
    <row r="990" spans="5:20" x14ac:dyDescent="0.25"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5"/>
      <c r="R990" s="5"/>
      <c r="S990" s="5"/>
      <c r="T990" s="5"/>
    </row>
    <row r="991" spans="5:20" x14ac:dyDescent="0.25"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5"/>
      <c r="R991" s="5"/>
      <c r="S991" s="5"/>
      <c r="T991" s="5"/>
    </row>
    <row r="992" spans="5:20" x14ac:dyDescent="0.25"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5"/>
      <c r="R992" s="5"/>
      <c r="S992" s="5"/>
      <c r="T992" s="5"/>
    </row>
    <row r="993" spans="5:20" x14ac:dyDescent="0.25"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5"/>
      <c r="R993" s="5"/>
      <c r="S993" s="5"/>
      <c r="T993" s="5"/>
    </row>
    <row r="994" spans="5:20" x14ac:dyDescent="0.25"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5"/>
      <c r="R994" s="5"/>
      <c r="S994" s="5"/>
      <c r="T994" s="5"/>
    </row>
    <row r="995" spans="5:20" x14ac:dyDescent="0.25"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5"/>
      <c r="R995" s="5"/>
      <c r="S995" s="5"/>
      <c r="T995" s="5"/>
    </row>
    <row r="996" spans="5:20" x14ac:dyDescent="0.25"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5"/>
      <c r="R996" s="5"/>
      <c r="S996" s="5"/>
      <c r="T996" s="5"/>
    </row>
    <row r="997" spans="5:20" x14ac:dyDescent="0.25"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5"/>
      <c r="R997" s="5"/>
      <c r="S997" s="5"/>
      <c r="T997" s="5"/>
    </row>
    <row r="998" spans="5:20" x14ac:dyDescent="0.25"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5"/>
      <c r="R998" s="5"/>
      <c r="S998" s="5"/>
      <c r="T998" s="5"/>
    </row>
    <row r="999" spans="5:20" x14ac:dyDescent="0.25"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5"/>
      <c r="R999" s="5"/>
      <c r="S999" s="5"/>
      <c r="T999" s="5"/>
    </row>
    <row r="1000" spans="5:20" x14ac:dyDescent="0.25"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5"/>
      <c r="R1000" s="5"/>
      <c r="S1000" s="5"/>
      <c r="T1000" s="5"/>
    </row>
    <row r="1001" spans="5:20" x14ac:dyDescent="0.25"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5"/>
      <c r="R1001" s="5"/>
      <c r="S1001" s="5"/>
      <c r="T1001" s="5"/>
    </row>
    <row r="1002" spans="5:20" x14ac:dyDescent="0.25"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5"/>
      <c r="R1002" s="5"/>
      <c r="S1002" s="5"/>
      <c r="T1002" s="5"/>
    </row>
    <row r="1003" spans="5:20" x14ac:dyDescent="0.25"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5"/>
      <c r="R1003" s="5"/>
      <c r="S1003" s="5"/>
      <c r="T1003" s="5"/>
    </row>
    <row r="1004" spans="5:20" x14ac:dyDescent="0.25"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5"/>
      <c r="R1004" s="5"/>
      <c r="S1004" s="5"/>
      <c r="T1004" s="5"/>
    </row>
    <row r="1005" spans="5:20" x14ac:dyDescent="0.25"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5"/>
      <c r="R1005" s="5"/>
      <c r="S1005" s="5"/>
      <c r="T1005" s="5"/>
    </row>
    <row r="1006" spans="5:20" x14ac:dyDescent="0.25"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5"/>
      <c r="R1006" s="5"/>
      <c r="S1006" s="5"/>
      <c r="T1006" s="5"/>
    </row>
    <row r="1007" spans="5:20" x14ac:dyDescent="0.25"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5"/>
      <c r="R1007" s="5"/>
      <c r="S1007" s="5"/>
      <c r="T1007" s="5"/>
    </row>
    <row r="1008" spans="5:20" x14ac:dyDescent="0.25"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5"/>
      <c r="R1008" s="5"/>
      <c r="S1008" s="5"/>
      <c r="T1008" s="5"/>
    </row>
    <row r="1009" spans="5:20" x14ac:dyDescent="0.25"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5"/>
      <c r="R1009" s="5"/>
      <c r="S1009" s="5"/>
      <c r="T1009" s="5"/>
    </row>
    <row r="1010" spans="5:20" x14ac:dyDescent="0.25"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5"/>
      <c r="R1010" s="5"/>
      <c r="S1010" s="5"/>
      <c r="T1010" s="5"/>
    </row>
    <row r="1011" spans="5:20" x14ac:dyDescent="0.25"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5"/>
      <c r="R1011" s="5"/>
      <c r="S1011" s="5"/>
      <c r="T1011" s="5"/>
    </row>
    <row r="1012" spans="5:20" x14ac:dyDescent="0.25"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5"/>
      <c r="R1012" s="5"/>
      <c r="S1012" s="5"/>
      <c r="T1012" s="5"/>
    </row>
    <row r="1013" spans="5:20" x14ac:dyDescent="0.25"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5"/>
      <c r="R1013" s="5"/>
      <c r="S1013" s="5"/>
      <c r="T1013" s="5"/>
    </row>
    <row r="1014" spans="5:20" x14ac:dyDescent="0.25"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5"/>
      <c r="R1014" s="5"/>
      <c r="S1014" s="5"/>
      <c r="T1014" s="5"/>
    </row>
    <row r="1015" spans="5:20" x14ac:dyDescent="0.25"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5"/>
      <c r="R1015" s="5"/>
      <c r="S1015" s="5"/>
      <c r="T1015" s="5"/>
    </row>
    <row r="1016" spans="5:20" x14ac:dyDescent="0.25"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5"/>
      <c r="R1016" s="5"/>
      <c r="S1016" s="5"/>
      <c r="T1016" s="5"/>
    </row>
    <row r="1017" spans="5:20" x14ac:dyDescent="0.25"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5"/>
      <c r="R1017" s="5"/>
      <c r="S1017" s="5"/>
      <c r="T1017" s="5"/>
    </row>
    <row r="1018" spans="5:20" x14ac:dyDescent="0.25"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5"/>
      <c r="R1018" s="5"/>
      <c r="S1018" s="5"/>
      <c r="T1018" s="5"/>
    </row>
    <row r="1019" spans="5:20" x14ac:dyDescent="0.25"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5"/>
      <c r="R1019" s="5"/>
      <c r="S1019" s="5"/>
      <c r="T1019" s="5"/>
    </row>
    <row r="1020" spans="5:20" x14ac:dyDescent="0.25"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5"/>
      <c r="R1020" s="5"/>
      <c r="S1020" s="5"/>
      <c r="T1020" s="5"/>
    </row>
    <row r="1021" spans="5:20" x14ac:dyDescent="0.25"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5"/>
      <c r="R1021" s="5"/>
      <c r="S1021" s="5"/>
      <c r="T1021" s="5"/>
    </row>
    <row r="1022" spans="5:20" x14ac:dyDescent="0.25"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5"/>
      <c r="R1022" s="5"/>
      <c r="S1022" s="5"/>
      <c r="T1022" s="5"/>
    </row>
    <row r="1023" spans="5:20" x14ac:dyDescent="0.25"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5"/>
      <c r="R1023" s="5"/>
      <c r="S1023" s="5"/>
      <c r="T1023" s="5"/>
    </row>
    <row r="1024" spans="5:20" x14ac:dyDescent="0.25"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5"/>
      <c r="R1024" s="5"/>
      <c r="S1024" s="5"/>
      <c r="T1024" s="5"/>
    </row>
    <row r="1025" spans="5:20" x14ac:dyDescent="0.25"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5"/>
      <c r="R1025" s="5"/>
      <c r="S1025" s="5"/>
      <c r="T1025" s="5"/>
    </row>
    <row r="1026" spans="5:20" x14ac:dyDescent="0.25"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5"/>
      <c r="R1026" s="5"/>
      <c r="S1026" s="5"/>
      <c r="T1026" s="5"/>
    </row>
    <row r="1027" spans="5:20" x14ac:dyDescent="0.25"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5"/>
      <c r="R1027" s="5"/>
      <c r="S1027" s="5"/>
      <c r="T1027" s="5"/>
    </row>
    <row r="1028" spans="5:20" x14ac:dyDescent="0.25"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5"/>
      <c r="R1028" s="5"/>
      <c r="S1028" s="5"/>
      <c r="T1028" s="5"/>
    </row>
    <row r="1029" spans="5:20" x14ac:dyDescent="0.25"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5"/>
      <c r="R1029" s="5"/>
      <c r="S1029" s="5"/>
      <c r="T1029" s="5"/>
    </row>
    <row r="1030" spans="5:20" x14ac:dyDescent="0.25"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5"/>
      <c r="R1030" s="5"/>
      <c r="S1030" s="5"/>
      <c r="T1030" s="5"/>
    </row>
    <row r="1031" spans="5:20" x14ac:dyDescent="0.25"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5"/>
      <c r="R1031" s="5"/>
      <c r="S1031" s="5"/>
      <c r="T1031" s="5"/>
    </row>
    <row r="1032" spans="5:20" x14ac:dyDescent="0.25"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5"/>
      <c r="R1032" s="5"/>
      <c r="S1032" s="5"/>
      <c r="T1032" s="5"/>
    </row>
    <row r="1033" spans="5:20" x14ac:dyDescent="0.25"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5"/>
      <c r="R1033" s="5"/>
      <c r="S1033" s="5"/>
      <c r="T1033" s="5"/>
    </row>
    <row r="1034" spans="5:20" x14ac:dyDescent="0.25"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5"/>
      <c r="R1034" s="5"/>
      <c r="S1034" s="5"/>
      <c r="T1034" s="5"/>
    </row>
    <row r="1035" spans="5:20" x14ac:dyDescent="0.25"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5"/>
      <c r="R1035" s="5"/>
      <c r="S1035" s="5"/>
      <c r="T1035" s="5"/>
    </row>
    <row r="1036" spans="5:20" x14ac:dyDescent="0.25"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5"/>
      <c r="R1036" s="5"/>
      <c r="S1036" s="5"/>
      <c r="T1036" s="5"/>
    </row>
    <row r="1037" spans="5:20" x14ac:dyDescent="0.25"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5"/>
      <c r="R1037" s="5"/>
      <c r="S1037" s="5"/>
      <c r="T1037" s="5"/>
    </row>
    <row r="1038" spans="5:20" x14ac:dyDescent="0.25"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5"/>
      <c r="R1038" s="5"/>
      <c r="S1038" s="5"/>
      <c r="T1038" s="5"/>
    </row>
    <row r="1039" spans="5:20" x14ac:dyDescent="0.25"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5"/>
      <c r="R1039" s="5"/>
      <c r="S1039" s="5"/>
      <c r="T1039" s="5"/>
    </row>
    <row r="1040" spans="5:20" x14ac:dyDescent="0.25"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5"/>
      <c r="R1040" s="5"/>
      <c r="S1040" s="5"/>
      <c r="T1040" s="5"/>
    </row>
    <row r="1041" spans="5:20" x14ac:dyDescent="0.25"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5"/>
      <c r="R1041" s="5"/>
      <c r="S1041" s="5"/>
      <c r="T1041" s="5"/>
    </row>
    <row r="1042" spans="5:20" x14ac:dyDescent="0.25"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5"/>
      <c r="R1042" s="5"/>
      <c r="S1042" s="5"/>
      <c r="T1042" s="5"/>
    </row>
    <row r="1043" spans="5:20" x14ac:dyDescent="0.25"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5"/>
      <c r="R1043" s="5"/>
      <c r="S1043" s="5"/>
      <c r="T1043" s="5"/>
    </row>
    <row r="1044" spans="5:20" x14ac:dyDescent="0.25"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5"/>
      <c r="R1044" s="5"/>
      <c r="S1044" s="5"/>
      <c r="T1044" s="5"/>
    </row>
    <row r="1045" spans="5:20" x14ac:dyDescent="0.25"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5"/>
      <c r="R1045" s="5"/>
      <c r="S1045" s="5"/>
      <c r="T1045" s="5"/>
    </row>
    <row r="1046" spans="5:20" x14ac:dyDescent="0.25"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5"/>
      <c r="R1046" s="5"/>
      <c r="S1046" s="5"/>
      <c r="T1046" s="5"/>
    </row>
    <row r="1047" spans="5:20" x14ac:dyDescent="0.25"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5"/>
      <c r="R1047" s="5"/>
      <c r="S1047" s="5"/>
      <c r="T1047" s="5"/>
    </row>
    <row r="1048" spans="5:20" x14ac:dyDescent="0.25"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5"/>
      <c r="R1048" s="5"/>
      <c r="S1048" s="5"/>
      <c r="T1048" s="5"/>
    </row>
    <row r="1049" spans="5:20" x14ac:dyDescent="0.25"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5"/>
      <c r="R1049" s="5"/>
      <c r="S1049" s="5"/>
      <c r="T1049" s="5"/>
    </row>
    <row r="1050" spans="5:20" x14ac:dyDescent="0.25"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5"/>
      <c r="R1050" s="5"/>
      <c r="S1050" s="5"/>
      <c r="T1050" s="5"/>
    </row>
    <row r="1051" spans="5:20" x14ac:dyDescent="0.25"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5"/>
      <c r="R1051" s="5"/>
      <c r="S1051" s="5"/>
      <c r="T1051" s="5"/>
    </row>
    <row r="1052" spans="5:20" x14ac:dyDescent="0.25"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5"/>
      <c r="R1052" s="5"/>
      <c r="S1052" s="5"/>
      <c r="T1052" s="5"/>
    </row>
    <row r="1053" spans="5:20" x14ac:dyDescent="0.25"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5"/>
      <c r="R1053" s="5"/>
      <c r="S1053" s="5"/>
      <c r="T1053" s="5"/>
    </row>
    <row r="1054" spans="5:20" x14ac:dyDescent="0.25"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5"/>
      <c r="R1054" s="5"/>
      <c r="S1054" s="5"/>
      <c r="T1054" s="5"/>
    </row>
    <row r="1055" spans="5:20" x14ac:dyDescent="0.25"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5"/>
      <c r="R1055" s="5"/>
      <c r="S1055" s="5"/>
      <c r="T1055" s="5"/>
    </row>
    <row r="1056" spans="5:20" x14ac:dyDescent="0.25"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5"/>
      <c r="R1056" s="5"/>
      <c r="S1056" s="5"/>
      <c r="T1056" s="5"/>
    </row>
    <row r="1057" spans="5:20" x14ac:dyDescent="0.25"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5"/>
      <c r="R1057" s="5"/>
      <c r="S1057" s="5"/>
      <c r="T1057" s="5"/>
    </row>
    <row r="1058" spans="5:20" x14ac:dyDescent="0.25"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5"/>
      <c r="R1058" s="5"/>
      <c r="S1058" s="5"/>
      <c r="T1058" s="5"/>
    </row>
    <row r="1059" spans="5:20" x14ac:dyDescent="0.25"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5"/>
      <c r="R1059" s="5"/>
      <c r="S1059" s="5"/>
      <c r="T1059" s="5"/>
    </row>
    <row r="1060" spans="5:20" x14ac:dyDescent="0.25"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5"/>
      <c r="R1060" s="5"/>
      <c r="S1060" s="5"/>
      <c r="T1060" s="5"/>
    </row>
    <row r="1061" spans="5:20" x14ac:dyDescent="0.25"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5"/>
      <c r="R1061" s="5"/>
      <c r="S1061" s="5"/>
      <c r="T1061" s="5"/>
    </row>
    <row r="1062" spans="5:20" x14ac:dyDescent="0.25"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5"/>
      <c r="R1062" s="5"/>
      <c r="S1062" s="5"/>
      <c r="T1062" s="5"/>
    </row>
    <row r="1063" spans="5:20" x14ac:dyDescent="0.25"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5"/>
      <c r="R1063" s="5"/>
      <c r="S1063" s="5"/>
      <c r="T1063" s="5"/>
    </row>
    <row r="1064" spans="5:20" x14ac:dyDescent="0.25"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5"/>
      <c r="R1064" s="5"/>
      <c r="S1064" s="5"/>
      <c r="T1064" s="5"/>
    </row>
    <row r="1065" spans="5:20" x14ac:dyDescent="0.25"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5"/>
      <c r="R1065" s="5"/>
      <c r="S1065" s="5"/>
      <c r="T1065" s="5"/>
    </row>
    <row r="1066" spans="5:20" x14ac:dyDescent="0.25"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5"/>
      <c r="R1066" s="5"/>
      <c r="S1066" s="5"/>
      <c r="T1066" s="5"/>
    </row>
    <row r="1067" spans="5:20" x14ac:dyDescent="0.25"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5"/>
      <c r="R1067" s="5"/>
      <c r="S1067" s="5"/>
      <c r="T1067" s="5"/>
    </row>
    <row r="1068" spans="5:20" x14ac:dyDescent="0.25"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5"/>
      <c r="R1068" s="5"/>
      <c r="S1068" s="5"/>
      <c r="T1068" s="5"/>
    </row>
    <row r="1069" spans="5:20" x14ac:dyDescent="0.25"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5"/>
      <c r="R1069" s="5"/>
      <c r="S1069" s="5"/>
      <c r="T1069" s="5"/>
    </row>
    <row r="1070" spans="5:20" x14ac:dyDescent="0.25"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5"/>
      <c r="R1070" s="5"/>
      <c r="S1070" s="5"/>
      <c r="T1070" s="5"/>
    </row>
    <row r="1071" spans="5:20" x14ac:dyDescent="0.25"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5"/>
      <c r="R1071" s="5"/>
      <c r="S1071" s="5"/>
      <c r="T1071" s="5"/>
    </row>
    <row r="1072" spans="5:20" x14ac:dyDescent="0.25"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5"/>
      <c r="R1072" s="5"/>
      <c r="S1072" s="5"/>
      <c r="T1072" s="5"/>
    </row>
    <row r="1073" spans="5:20" x14ac:dyDescent="0.25"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5"/>
      <c r="R1073" s="5"/>
      <c r="S1073" s="5"/>
      <c r="T1073" s="5"/>
    </row>
    <row r="1074" spans="5:20" x14ac:dyDescent="0.25"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5"/>
      <c r="R1074" s="5"/>
      <c r="S1074" s="5"/>
      <c r="T1074" s="5"/>
    </row>
    <row r="1075" spans="5:20" x14ac:dyDescent="0.25"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5"/>
      <c r="R1075" s="5"/>
      <c r="S1075" s="5"/>
      <c r="T1075" s="5"/>
    </row>
    <row r="1076" spans="5:20" x14ac:dyDescent="0.25"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5"/>
      <c r="R1076" s="5"/>
      <c r="S1076" s="5"/>
      <c r="T1076" s="5"/>
    </row>
    <row r="1077" spans="5:20" x14ac:dyDescent="0.25"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5"/>
      <c r="R1077" s="5"/>
      <c r="S1077" s="5"/>
      <c r="T1077" s="5"/>
    </row>
    <row r="1078" spans="5:20" x14ac:dyDescent="0.25"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5"/>
      <c r="R1078" s="5"/>
      <c r="S1078" s="5"/>
      <c r="T1078" s="5"/>
    </row>
    <row r="1079" spans="5:20" x14ac:dyDescent="0.25"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5"/>
      <c r="R1079" s="5"/>
      <c r="S1079" s="5"/>
      <c r="T1079" s="5"/>
    </row>
    <row r="1080" spans="5:20" x14ac:dyDescent="0.25"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5"/>
      <c r="R1080" s="5"/>
      <c r="S1080" s="5"/>
      <c r="T1080" s="5"/>
    </row>
    <row r="1081" spans="5:20" x14ac:dyDescent="0.25"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5"/>
      <c r="R1081" s="5"/>
      <c r="S1081" s="5"/>
      <c r="T1081" s="5"/>
    </row>
    <row r="1082" spans="5:20" x14ac:dyDescent="0.25"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5"/>
      <c r="R1082" s="5"/>
      <c r="S1082" s="5"/>
      <c r="T1082" s="5"/>
    </row>
    <row r="1083" spans="5:20" x14ac:dyDescent="0.25"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5"/>
      <c r="R1083" s="5"/>
      <c r="S1083" s="5"/>
      <c r="T1083" s="5"/>
    </row>
    <row r="1084" spans="5:20" x14ac:dyDescent="0.25"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5"/>
      <c r="R1084" s="5"/>
      <c r="S1084" s="5"/>
      <c r="T1084" s="5"/>
    </row>
    <row r="1085" spans="5:20" x14ac:dyDescent="0.25"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5"/>
      <c r="R1085" s="5"/>
      <c r="S1085" s="5"/>
      <c r="T1085" s="5"/>
    </row>
    <row r="1086" spans="5:20" x14ac:dyDescent="0.25"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5"/>
      <c r="R1086" s="5"/>
      <c r="S1086" s="5"/>
      <c r="T1086" s="5"/>
    </row>
    <row r="1087" spans="5:20" x14ac:dyDescent="0.25"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5"/>
      <c r="R1087" s="5"/>
      <c r="S1087" s="5"/>
      <c r="T1087" s="5"/>
    </row>
    <row r="1088" spans="5:20" x14ac:dyDescent="0.25"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5"/>
      <c r="R1088" s="5"/>
      <c r="S1088" s="5"/>
      <c r="T1088" s="5"/>
    </row>
    <row r="1089" spans="5:20" x14ac:dyDescent="0.25"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5"/>
      <c r="R1089" s="5"/>
      <c r="S1089" s="5"/>
      <c r="T1089" s="5"/>
    </row>
    <row r="1090" spans="5:20" x14ac:dyDescent="0.25"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5"/>
      <c r="R1090" s="5"/>
      <c r="S1090" s="5"/>
      <c r="T1090" s="5"/>
    </row>
    <row r="1091" spans="5:20" x14ac:dyDescent="0.25"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5"/>
      <c r="R1091" s="5"/>
      <c r="S1091" s="5"/>
      <c r="T1091" s="5"/>
    </row>
    <row r="1092" spans="5:20" x14ac:dyDescent="0.25"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5"/>
      <c r="R1092" s="5"/>
      <c r="S1092" s="5"/>
      <c r="T1092" s="5"/>
    </row>
    <row r="1093" spans="5:20" x14ac:dyDescent="0.25"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5"/>
      <c r="R1093" s="5"/>
      <c r="S1093" s="5"/>
      <c r="T1093" s="5"/>
    </row>
    <row r="1094" spans="5:20" x14ac:dyDescent="0.25"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5"/>
      <c r="R1094" s="5"/>
      <c r="S1094" s="5"/>
      <c r="T1094" s="5"/>
    </row>
    <row r="1095" spans="5:20" x14ac:dyDescent="0.25"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5"/>
      <c r="R1095" s="5"/>
      <c r="S1095" s="5"/>
      <c r="T1095" s="5"/>
    </row>
    <row r="1096" spans="5:20" x14ac:dyDescent="0.25"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5"/>
      <c r="R1096" s="5"/>
      <c r="S1096" s="5"/>
      <c r="T1096" s="5"/>
    </row>
    <row r="1097" spans="5:20" x14ac:dyDescent="0.25"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5"/>
      <c r="R1097" s="5"/>
      <c r="S1097" s="5"/>
      <c r="T1097" s="5"/>
    </row>
    <row r="1098" spans="5:20" x14ac:dyDescent="0.25"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5"/>
      <c r="R1098" s="5"/>
      <c r="S1098" s="5"/>
      <c r="T1098" s="5"/>
    </row>
    <row r="1099" spans="5:20" x14ac:dyDescent="0.25"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5"/>
      <c r="R1099" s="5"/>
      <c r="S1099" s="5"/>
      <c r="T1099" s="5"/>
    </row>
    <row r="1100" spans="5:20" x14ac:dyDescent="0.25"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5"/>
      <c r="R1100" s="5"/>
      <c r="S1100" s="5"/>
      <c r="T1100" s="5"/>
    </row>
    <row r="1101" spans="5:20" x14ac:dyDescent="0.25"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5"/>
      <c r="R1101" s="5"/>
      <c r="S1101" s="5"/>
      <c r="T1101" s="5"/>
    </row>
    <row r="1102" spans="5:20" x14ac:dyDescent="0.25"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5"/>
      <c r="R1102" s="5"/>
      <c r="S1102" s="5"/>
      <c r="T1102" s="5"/>
    </row>
    <row r="1103" spans="5:20" x14ac:dyDescent="0.25"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5"/>
      <c r="R1103" s="5"/>
      <c r="S1103" s="5"/>
      <c r="T1103" s="5"/>
    </row>
    <row r="1104" spans="5:20" x14ac:dyDescent="0.25"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5"/>
      <c r="R1104" s="5"/>
      <c r="S1104" s="5"/>
      <c r="T1104" s="5"/>
    </row>
    <row r="1105" spans="5:20" x14ac:dyDescent="0.25"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5"/>
      <c r="R1105" s="5"/>
      <c r="S1105" s="5"/>
      <c r="T1105" s="5"/>
    </row>
    <row r="1106" spans="5:20" x14ac:dyDescent="0.25"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5"/>
      <c r="R1106" s="5"/>
      <c r="S1106" s="5"/>
      <c r="T1106" s="5"/>
    </row>
    <row r="1107" spans="5:20" x14ac:dyDescent="0.25"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5"/>
      <c r="R1107" s="5"/>
      <c r="S1107" s="5"/>
      <c r="T1107" s="5"/>
    </row>
    <row r="1108" spans="5:20" x14ac:dyDescent="0.25"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5"/>
      <c r="R1108" s="5"/>
      <c r="S1108" s="5"/>
      <c r="T1108" s="5"/>
    </row>
    <row r="1109" spans="5:20" x14ac:dyDescent="0.25"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5"/>
      <c r="R1109" s="5"/>
      <c r="S1109" s="5"/>
      <c r="T1109" s="5"/>
    </row>
    <row r="1110" spans="5:20" x14ac:dyDescent="0.25"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5"/>
      <c r="R1110" s="5"/>
      <c r="S1110" s="5"/>
      <c r="T1110" s="5"/>
    </row>
    <row r="1111" spans="5:20" x14ac:dyDescent="0.25"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5"/>
      <c r="R1111" s="5"/>
      <c r="S1111" s="5"/>
      <c r="T1111" s="5"/>
    </row>
    <row r="1112" spans="5:20" x14ac:dyDescent="0.25"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5"/>
      <c r="R1112" s="5"/>
      <c r="S1112" s="5"/>
      <c r="T1112" s="5"/>
    </row>
    <row r="1113" spans="5:20" x14ac:dyDescent="0.25"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5"/>
      <c r="R1113" s="5"/>
      <c r="S1113" s="5"/>
      <c r="T1113" s="5"/>
    </row>
    <row r="1114" spans="5:20" x14ac:dyDescent="0.25"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5"/>
      <c r="R1114" s="5"/>
      <c r="S1114" s="5"/>
      <c r="T1114" s="5"/>
    </row>
    <row r="1115" spans="5:20" x14ac:dyDescent="0.25"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5"/>
      <c r="R1115" s="5"/>
      <c r="S1115" s="5"/>
      <c r="T1115" s="5"/>
    </row>
    <row r="1116" spans="5:20" x14ac:dyDescent="0.25"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5"/>
      <c r="R1116" s="5"/>
      <c r="S1116" s="5"/>
      <c r="T1116" s="5"/>
    </row>
    <row r="1117" spans="5:20" x14ac:dyDescent="0.25"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5"/>
      <c r="R1117" s="5"/>
      <c r="S1117" s="5"/>
      <c r="T1117" s="5"/>
    </row>
    <row r="1118" spans="5:20" x14ac:dyDescent="0.25"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5"/>
      <c r="R1118" s="5"/>
      <c r="S1118" s="5"/>
      <c r="T1118" s="5"/>
    </row>
    <row r="1119" spans="5:20" x14ac:dyDescent="0.25"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5"/>
      <c r="R1119" s="5"/>
      <c r="S1119" s="5"/>
      <c r="T1119" s="5"/>
    </row>
    <row r="1120" spans="5:20" x14ac:dyDescent="0.25"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5"/>
      <c r="R1120" s="5"/>
      <c r="S1120" s="5"/>
      <c r="T1120" s="5"/>
    </row>
    <row r="1121" spans="5:20" x14ac:dyDescent="0.25"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5"/>
      <c r="R1121" s="5"/>
      <c r="S1121" s="5"/>
      <c r="T1121" s="5"/>
    </row>
    <row r="1122" spans="5:20" x14ac:dyDescent="0.25"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5"/>
      <c r="R1122" s="5"/>
      <c r="S1122" s="5"/>
      <c r="T1122" s="5"/>
    </row>
    <row r="1123" spans="5:20" x14ac:dyDescent="0.25"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5"/>
      <c r="R1123" s="5"/>
      <c r="S1123" s="5"/>
      <c r="T1123" s="5"/>
    </row>
    <row r="1124" spans="5:20" x14ac:dyDescent="0.25"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5"/>
      <c r="R1124" s="5"/>
      <c r="S1124" s="5"/>
      <c r="T1124" s="5"/>
    </row>
    <row r="1125" spans="5:20" x14ac:dyDescent="0.25"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5"/>
      <c r="R1125" s="5"/>
      <c r="S1125" s="5"/>
      <c r="T1125" s="5"/>
    </row>
    <row r="1126" spans="5:20" x14ac:dyDescent="0.25"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5"/>
      <c r="R1126" s="5"/>
      <c r="S1126" s="5"/>
      <c r="T1126" s="5"/>
    </row>
    <row r="1127" spans="5:20" x14ac:dyDescent="0.25"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5"/>
      <c r="R1127" s="5"/>
      <c r="S1127" s="5"/>
      <c r="T1127" s="5"/>
    </row>
    <row r="1128" spans="5:20" x14ac:dyDescent="0.25"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5"/>
      <c r="R1128" s="5"/>
      <c r="S1128" s="5"/>
      <c r="T1128" s="5"/>
    </row>
    <row r="1129" spans="5:20" x14ac:dyDescent="0.25"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5"/>
      <c r="R1129" s="5"/>
      <c r="S1129" s="5"/>
      <c r="T1129" s="5"/>
    </row>
    <row r="1130" spans="5:20" x14ac:dyDescent="0.25"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5"/>
      <c r="R1130" s="5"/>
      <c r="S1130" s="5"/>
      <c r="T1130" s="5"/>
    </row>
    <row r="1131" spans="5:20" x14ac:dyDescent="0.25"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5"/>
      <c r="R1131" s="5"/>
      <c r="S1131" s="5"/>
      <c r="T1131" s="5"/>
    </row>
    <row r="1132" spans="5:20" x14ac:dyDescent="0.25"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5"/>
      <c r="R1132" s="5"/>
      <c r="S1132" s="5"/>
      <c r="T1132" s="5"/>
    </row>
    <row r="1133" spans="5:20" x14ac:dyDescent="0.25"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5"/>
      <c r="R1133" s="5"/>
      <c r="S1133" s="5"/>
      <c r="T1133" s="5"/>
    </row>
    <row r="1134" spans="5:20" x14ac:dyDescent="0.25"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5"/>
      <c r="R1134" s="5"/>
      <c r="S1134" s="5"/>
      <c r="T1134" s="5"/>
    </row>
    <row r="1135" spans="5:20" x14ac:dyDescent="0.25"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5"/>
      <c r="R1135" s="5"/>
      <c r="S1135" s="5"/>
      <c r="T1135" s="5"/>
    </row>
    <row r="1136" spans="5:20" x14ac:dyDescent="0.25"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5"/>
      <c r="R1136" s="5"/>
      <c r="S1136" s="5"/>
      <c r="T1136" s="5"/>
    </row>
    <row r="1137" spans="5:20" x14ac:dyDescent="0.25"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5"/>
      <c r="R1137" s="5"/>
      <c r="S1137" s="5"/>
      <c r="T1137" s="5"/>
    </row>
    <row r="1138" spans="5:20" x14ac:dyDescent="0.25"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5"/>
      <c r="R1138" s="5"/>
      <c r="S1138" s="5"/>
      <c r="T1138" s="5"/>
    </row>
    <row r="1139" spans="5:20" x14ac:dyDescent="0.25"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5"/>
      <c r="R1139" s="5"/>
      <c r="S1139" s="5"/>
      <c r="T1139" s="5"/>
    </row>
    <row r="1140" spans="5:20" x14ac:dyDescent="0.25"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5"/>
      <c r="R1140" s="5"/>
      <c r="S1140" s="5"/>
      <c r="T1140" s="5"/>
    </row>
    <row r="1141" spans="5:20" x14ac:dyDescent="0.25"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5"/>
      <c r="R1141" s="5"/>
      <c r="S1141" s="5"/>
      <c r="T1141" s="5"/>
    </row>
    <row r="1142" spans="5:20" x14ac:dyDescent="0.25"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5"/>
      <c r="R1142" s="5"/>
      <c r="S1142" s="5"/>
      <c r="T1142" s="5"/>
    </row>
    <row r="1143" spans="5:20" x14ac:dyDescent="0.25"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5"/>
      <c r="R1143" s="5"/>
      <c r="S1143" s="5"/>
      <c r="T1143" s="5"/>
    </row>
    <row r="1144" spans="5:20" x14ac:dyDescent="0.25"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5"/>
      <c r="R1144" s="5"/>
      <c r="S1144" s="5"/>
      <c r="T1144" s="5"/>
    </row>
    <row r="1145" spans="5:20" x14ac:dyDescent="0.25"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5"/>
      <c r="R1145" s="5"/>
      <c r="S1145" s="5"/>
      <c r="T1145" s="5"/>
    </row>
    <row r="1146" spans="5:20" x14ac:dyDescent="0.25"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5"/>
      <c r="R1146" s="5"/>
      <c r="S1146" s="5"/>
      <c r="T1146" s="5"/>
    </row>
    <row r="1147" spans="5:20" x14ac:dyDescent="0.25"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5"/>
      <c r="R1147" s="5"/>
      <c r="S1147" s="5"/>
      <c r="T1147" s="5"/>
    </row>
    <row r="1148" spans="5:20" x14ac:dyDescent="0.25"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5"/>
      <c r="R1148" s="5"/>
      <c r="S1148" s="5"/>
      <c r="T1148" s="5"/>
    </row>
    <row r="1149" spans="5:20" x14ac:dyDescent="0.25"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5"/>
      <c r="R1149" s="5"/>
      <c r="S1149" s="5"/>
      <c r="T1149" s="5"/>
    </row>
    <row r="1150" spans="5:20" x14ac:dyDescent="0.25"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5"/>
      <c r="R1150" s="5"/>
      <c r="S1150" s="5"/>
      <c r="T1150" s="5"/>
    </row>
    <row r="1151" spans="5:20" x14ac:dyDescent="0.25"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5"/>
      <c r="R1151" s="5"/>
      <c r="S1151" s="5"/>
      <c r="T1151" s="5"/>
    </row>
    <row r="1152" spans="5:20" x14ac:dyDescent="0.25"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5"/>
      <c r="R1152" s="5"/>
      <c r="S1152" s="5"/>
      <c r="T1152" s="5"/>
    </row>
    <row r="1153" spans="5:20" x14ac:dyDescent="0.25"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5"/>
      <c r="R1153" s="5"/>
      <c r="S1153" s="5"/>
      <c r="T1153" s="5"/>
    </row>
    <row r="1154" spans="5:20" x14ac:dyDescent="0.25"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5"/>
      <c r="R1154" s="5"/>
      <c r="S1154" s="5"/>
      <c r="T1154" s="5"/>
    </row>
    <row r="1155" spans="5:20" x14ac:dyDescent="0.25"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5"/>
      <c r="R1155" s="5"/>
      <c r="S1155" s="5"/>
      <c r="T1155" s="5"/>
    </row>
    <row r="1156" spans="5:20" x14ac:dyDescent="0.25"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5"/>
      <c r="R1156" s="5"/>
      <c r="S1156" s="5"/>
      <c r="T1156" s="5"/>
    </row>
    <row r="1157" spans="5:20" x14ac:dyDescent="0.25"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5"/>
      <c r="R1157" s="5"/>
      <c r="S1157" s="5"/>
      <c r="T1157" s="5"/>
    </row>
    <row r="1158" spans="5:20" x14ac:dyDescent="0.25"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5"/>
      <c r="R1158" s="5"/>
      <c r="S1158" s="5"/>
      <c r="T1158" s="5"/>
    </row>
    <row r="1159" spans="5:20" x14ac:dyDescent="0.25"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5"/>
      <c r="R1159" s="5"/>
      <c r="S1159" s="5"/>
      <c r="T1159" s="5"/>
    </row>
    <row r="1160" spans="5:20" x14ac:dyDescent="0.25"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5"/>
      <c r="R1160" s="5"/>
      <c r="S1160" s="5"/>
      <c r="T1160" s="5"/>
    </row>
    <row r="1161" spans="5:20" x14ac:dyDescent="0.25"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5"/>
      <c r="R1161" s="5"/>
      <c r="S1161" s="5"/>
      <c r="T1161" s="5"/>
    </row>
    <row r="1162" spans="5:20" x14ac:dyDescent="0.25"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5"/>
      <c r="R1162" s="5"/>
      <c r="S1162" s="5"/>
      <c r="T1162" s="5"/>
    </row>
    <row r="1163" spans="5:20" x14ac:dyDescent="0.25"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5"/>
      <c r="R1163" s="5"/>
      <c r="S1163" s="5"/>
      <c r="T1163" s="5"/>
    </row>
    <row r="1164" spans="5:20" x14ac:dyDescent="0.25"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5"/>
      <c r="R1164" s="5"/>
      <c r="S1164" s="5"/>
      <c r="T1164" s="5"/>
    </row>
    <row r="1165" spans="5:20" x14ac:dyDescent="0.25"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5"/>
      <c r="R1165" s="5"/>
      <c r="S1165" s="5"/>
      <c r="T1165" s="5"/>
    </row>
    <row r="1166" spans="5:20" x14ac:dyDescent="0.25"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5"/>
      <c r="R1166" s="5"/>
      <c r="S1166" s="5"/>
      <c r="T1166" s="5"/>
    </row>
    <row r="1167" spans="5:20" x14ac:dyDescent="0.25"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5"/>
      <c r="R1167" s="5"/>
      <c r="S1167" s="5"/>
      <c r="T1167" s="5"/>
    </row>
    <row r="1168" spans="5:20" x14ac:dyDescent="0.25"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5"/>
      <c r="R1168" s="5"/>
      <c r="S1168" s="5"/>
      <c r="T1168" s="5"/>
    </row>
    <row r="1169" spans="5:20" x14ac:dyDescent="0.25"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5"/>
      <c r="R1169" s="5"/>
      <c r="S1169" s="5"/>
      <c r="T1169" s="5"/>
    </row>
    <row r="1170" spans="5:20" x14ac:dyDescent="0.25"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5"/>
      <c r="R1170" s="5"/>
      <c r="S1170" s="5"/>
      <c r="T1170" s="5"/>
    </row>
    <row r="1171" spans="5:20" x14ac:dyDescent="0.25"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5"/>
      <c r="R1171" s="5"/>
      <c r="S1171" s="5"/>
      <c r="T1171" s="5"/>
    </row>
    <row r="1172" spans="5:20" x14ac:dyDescent="0.25"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5"/>
      <c r="R1172" s="5"/>
      <c r="S1172" s="5"/>
      <c r="T1172" s="5"/>
    </row>
    <row r="1173" spans="5:20" x14ac:dyDescent="0.25"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5"/>
      <c r="R1173" s="5"/>
      <c r="S1173" s="5"/>
      <c r="T1173" s="5"/>
    </row>
    <row r="1174" spans="5:20" x14ac:dyDescent="0.25"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5"/>
      <c r="R1174" s="5"/>
      <c r="S1174" s="5"/>
      <c r="T1174" s="5"/>
    </row>
    <row r="1175" spans="5:20" x14ac:dyDescent="0.25"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5"/>
      <c r="R1175" s="5"/>
      <c r="S1175" s="5"/>
      <c r="T1175" s="5"/>
    </row>
    <row r="1176" spans="5:20" x14ac:dyDescent="0.25"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5"/>
      <c r="R1176" s="5"/>
      <c r="S1176" s="5"/>
      <c r="T1176" s="5"/>
    </row>
    <row r="1177" spans="5:20" x14ac:dyDescent="0.25"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5"/>
      <c r="R1177" s="5"/>
      <c r="S1177" s="5"/>
      <c r="T1177" s="5"/>
    </row>
    <row r="1178" spans="5:20" x14ac:dyDescent="0.25"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5"/>
      <c r="R1178" s="5"/>
      <c r="S1178" s="5"/>
      <c r="T1178" s="5"/>
    </row>
    <row r="1179" spans="5:20" x14ac:dyDescent="0.25"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5"/>
      <c r="R1179" s="5"/>
      <c r="S1179" s="5"/>
      <c r="T1179" s="5"/>
    </row>
    <row r="1180" spans="5:20" x14ac:dyDescent="0.25"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5"/>
      <c r="R1180" s="5"/>
      <c r="S1180" s="5"/>
      <c r="T1180" s="5"/>
    </row>
    <row r="1181" spans="5:20" x14ac:dyDescent="0.25"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5"/>
      <c r="R1181" s="5"/>
      <c r="S1181" s="5"/>
      <c r="T1181" s="5"/>
    </row>
    <row r="1182" spans="5:20" x14ac:dyDescent="0.25"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5"/>
      <c r="R1182" s="5"/>
      <c r="S1182" s="5"/>
      <c r="T1182" s="5"/>
    </row>
    <row r="1183" spans="5:20" x14ac:dyDescent="0.25"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5"/>
      <c r="R1183" s="5"/>
      <c r="S1183" s="5"/>
      <c r="T1183" s="5"/>
    </row>
    <row r="1184" spans="5:20" x14ac:dyDescent="0.25"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5"/>
      <c r="R1184" s="5"/>
      <c r="S1184" s="5"/>
      <c r="T1184" s="5"/>
    </row>
    <row r="1185" spans="5:20" x14ac:dyDescent="0.25"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5"/>
      <c r="R1185" s="5"/>
      <c r="S1185" s="5"/>
      <c r="T1185" s="5"/>
    </row>
    <row r="1186" spans="5:20" x14ac:dyDescent="0.25"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5"/>
      <c r="R1186" s="5"/>
      <c r="S1186" s="5"/>
      <c r="T1186" s="5"/>
    </row>
    <row r="1187" spans="5:20" x14ac:dyDescent="0.25"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5"/>
      <c r="R1187" s="5"/>
      <c r="S1187" s="5"/>
      <c r="T1187" s="5"/>
    </row>
    <row r="1188" spans="5:20" x14ac:dyDescent="0.25"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5"/>
      <c r="R1188" s="5"/>
      <c r="S1188" s="5"/>
      <c r="T1188" s="5"/>
    </row>
    <row r="1189" spans="5:20" x14ac:dyDescent="0.25"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5"/>
      <c r="R1189" s="5"/>
      <c r="S1189" s="5"/>
      <c r="T1189" s="5"/>
    </row>
    <row r="1190" spans="5:20" x14ac:dyDescent="0.25"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5"/>
      <c r="R1190" s="5"/>
      <c r="S1190" s="5"/>
      <c r="T1190" s="5"/>
    </row>
    <row r="1191" spans="5:20" x14ac:dyDescent="0.25"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5"/>
      <c r="R1191" s="5"/>
      <c r="S1191" s="5"/>
      <c r="T1191" s="5"/>
    </row>
    <row r="1192" spans="5:20" x14ac:dyDescent="0.25"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5"/>
      <c r="R1192" s="5"/>
      <c r="S1192" s="5"/>
      <c r="T1192" s="5"/>
    </row>
    <row r="1193" spans="5:20" x14ac:dyDescent="0.25"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5"/>
      <c r="R1193" s="5"/>
      <c r="S1193" s="5"/>
      <c r="T1193" s="5"/>
    </row>
    <row r="1194" spans="5:20" x14ac:dyDescent="0.25"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5"/>
      <c r="R1194" s="5"/>
      <c r="S1194" s="5"/>
      <c r="T1194" s="5"/>
    </row>
    <row r="1195" spans="5:20" x14ac:dyDescent="0.25"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5"/>
      <c r="R1195" s="5"/>
      <c r="S1195" s="5"/>
      <c r="T1195" s="5"/>
    </row>
    <row r="1196" spans="5:20" x14ac:dyDescent="0.25"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5"/>
      <c r="R1196" s="5"/>
      <c r="S1196" s="5"/>
      <c r="T1196" s="5"/>
    </row>
    <row r="1197" spans="5:20" x14ac:dyDescent="0.25"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5"/>
      <c r="R1197" s="5"/>
      <c r="S1197" s="5"/>
      <c r="T1197" s="5"/>
    </row>
    <row r="1198" spans="5:20" x14ac:dyDescent="0.25"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5"/>
      <c r="R1198" s="5"/>
      <c r="S1198" s="5"/>
      <c r="T1198" s="5"/>
    </row>
    <row r="1199" spans="5:20" x14ac:dyDescent="0.25"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5"/>
      <c r="R1199" s="5"/>
      <c r="S1199" s="5"/>
      <c r="T1199" s="5"/>
    </row>
    <row r="1200" spans="5:20" x14ac:dyDescent="0.25"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5"/>
      <c r="R1200" s="5"/>
      <c r="S1200" s="5"/>
      <c r="T1200" s="5"/>
    </row>
    <row r="1201" spans="5:20" x14ac:dyDescent="0.25"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5"/>
      <c r="R1201" s="5"/>
      <c r="S1201" s="5"/>
      <c r="T1201" s="5"/>
    </row>
    <row r="1202" spans="5:20" x14ac:dyDescent="0.25"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5"/>
      <c r="R1202" s="5"/>
      <c r="S1202" s="5"/>
      <c r="T1202" s="5"/>
    </row>
    <row r="1203" spans="5:20" x14ac:dyDescent="0.25"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5"/>
      <c r="R1203" s="5"/>
      <c r="S1203" s="5"/>
      <c r="T1203" s="5"/>
    </row>
    <row r="1204" spans="5:20" x14ac:dyDescent="0.25"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5"/>
      <c r="R1204" s="5"/>
      <c r="S1204" s="5"/>
      <c r="T1204" s="5"/>
    </row>
    <row r="1205" spans="5:20" x14ac:dyDescent="0.25"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5"/>
      <c r="R1205" s="5"/>
      <c r="S1205" s="5"/>
      <c r="T1205" s="5"/>
    </row>
    <row r="1206" spans="5:20" x14ac:dyDescent="0.25"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5"/>
      <c r="R1206" s="5"/>
      <c r="S1206" s="5"/>
      <c r="T1206" s="5"/>
    </row>
    <row r="1207" spans="5:20" x14ac:dyDescent="0.25"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5"/>
      <c r="R1207" s="5"/>
      <c r="S1207" s="5"/>
      <c r="T1207" s="5"/>
    </row>
    <row r="1208" spans="5:20" x14ac:dyDescent="0.25"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5"/>
      <c r="R1208" s="5"/>
      <c r="S1208" s="5"/>
      <c r="T1208" s="5"/>
    </row>
    <row r="1209" spans="5:20" x14ac:dyDescent="0.25"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5"/>
      <c r="R1209" s="5"/>
      <c r="S1209" s="5"/>
      <c r="T1209" s="5"/>
    </row>
    <row r="1210" spans="5:20" x14ac:dyDescent="0.25"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5"/>
      <c r="R1210" s="5"/>
      <c r="S1210" s="5"/>
      <c r="T1210" s="5"/>
    </row>
    <row r="1211" spans="5:20" x14ac:dyDescent="0.25"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5"/>
      <c r="R1211" s="5"/>
      <c r="S1211" s="5"/>
      <c r="T1211" s="5"/>
    </row>
    <row r="1212" spans="5:20" x14ac:dyDescent="0.25"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5"/>
      <c r="R1212" s="5"/>
      <c r="S1212" s="5"/>
      <c r="T1212" s="5"/>
    </row>
    <row r="1213" spans="5:20" x14ac:dyDescent="0.25"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5"/>
      <c r="R1213" s="5"/>
      <c r="S1213" s="5"/>
      <c r="T1213" s="5"/>
    </row>
    <row r="1214" spans="5:20" x14ac:dyDescent="0.25"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5"/>
      <c r="R1214" s="5"/>
      <c r="S1214" s="5"/>
      <c r="T1214" s="5"/>
    </row>
    <row r="1215" spans="5:20" x14ac:dyDescent="0.25"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5"/>
      <c r="R1215" s="5"/>
      <c r="S1215" s="5"/>
      <c r="T1215" s="5"/>
    </row>
    <row r="1216" spans="5:20" x14ac:dyDescent="0.25"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5"/>
      <c r="R1216" s="5"/>
      <c r="S1216" s="5"/>
      <c r="T1216" s="5"/>
    </row>
    <row r="1217" spans="5:20" x14ac:dyDescent="0.25"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5"/>
      <c r="R1217" s="5"/>
      <c r="S1217" s="5"/>
      <c r="T1217" s="5"/>
    </row>
    <row r="1218" spans="5:20" x14ac:dyDescent="0.25"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5"/>
      <c r="R1218" s="5"/>
      <c r="S1218" s="5"/>
      <c r="T1218" s="5"/>
    </row>
    <row r="1219" spans="5:20" x14ac:dyDescent="0.25"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5"/>
      <c r="R1219" s="5"/>
      <c r="S1219" s="5"/>
      <c r="T1219" s="5"/>
    </row>
    <row r="1220" spans="5:20" x14ac:dyDescent="0.25"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5"/>
      <c r="R1220" s="5"/>
      <c r="S1220" s="5"/>
      <c r="T1220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8.8554687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212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SUMIFS(Energi!$Q:$Q,Energi!$N:$N,$B3,Energi!$K:$K,C$2)</f>
        <v>0</v>
      </c>
      <c r="D3" s="13">
        <f ca="1">SUMIFS(Energi!$Q:$Q,Energi!$N:$N,$B3,Energi!$K:$K,D$2)</f>
        <v>0</v>
      </c>
      <c r="E3" s="13">
        <f ca="1">SUMIFS(Energi!$Q:$Q,Energi!$N:$N,$B3,Energi!$K:$K,E$2)</f>
        <v>0</v>
      </c>
      <c r="F3" s="13">
        <f ca="1">SUMIFS(Energi!$Q:$Q,Energi!$N:$N,$B3,Energi!$K:$K,F$2)</f>
        <v>0</v>
      </c>
      <c r="G3" s="13">
        <f ca="1">SUMIFS(Energi!$Q:$Q,Energi!$N:$N,$B3,Energi!$K:$K,G$2)</f>
        <v>0</v>
      </c>
      <c r="H3" s="13">
        <f ca="1">SUMIFS(Energi!$Q:$Q,Energi!$N:$N,$B3,Energi!$K:$K,H$2)</f>
        <v>0</v>
      </c>
      <c r="I3" s="13">
        <f ca="1">SUMIFS(Energi!$Q:$Q,Energi!$N:$N,$B3,Energi!$K:$K,I$2)</f>
        <v>0</v>
      </c>
      <c r="J3" s="14">
        <f ca="1">SUMIFS(Energi!$Q:$Q,Energi!$N:$N,$B3)-SUM(C3:I3)</f>
        <v>0</v>
      </c>
      <c r="K3" s="15">
        <f ca="1">SUM(C3:J3)</f>
        <v>0</v>
      </c>
      <c r="M3" s="11" t="s">
        <v>58</v>
      </c>
      <c r="N3" s="12">
        <f ca="1">SUMIFS(Energi!$Q:$Q,Energi!$N:$N,$M3,Energi!$K:$K,N$2,Energi!$X:$X,$N$1)</f>
        <v>0</v>
      </c>
      <c r="O3" s="13">
        <f ca="1">SUMIFS(Energi!$Q:$Q,Energi!$N:$N,$M3,Energi!$K:$K,O$2,Energi!$X:$X,$N$1)</f>
        <v>0</v>
      </c>
      <c r="P3" s="13">
        <f ca="1">SUMIFS(Energi!$Q:$Q,Energi!$N:$N,$M3,Energi!$K:$K,P$2,Energi!$X:$X,$N$1)</f>
        <v>0</v>
      </c>
      <c r="Q3" s="13">
        <f ca="1">SUMIFS(Energi!$Q:$Q,Energi!$N:$N,$M3,Energi!$K:$K,Q$2,Energi!$X:$X,$N$1)</f>
        <v>0</v>
      </c>
      <c r="R3" s="13">
        <f ca="1">SUMIFS(Energi!$Q:$Q,Energi!$N:$N,$M3,Energi!$K:$K,R$2,Energi!$X:$X,$N$1)</f>
        <v>0</v>
      </c>
      <c r="S3" s="13">
        <f ca="1">SUMIFS(Energi!$Q:$Q,Energi!$N:$N,$M3,Energi!$K:$K,S$2,Energi!$X:$X,$N$1)</f>
        <v>0</v>
      </c>
      <c r="T3" s="13">
        <f ca="1">SUMIFS(Energi!$Q:$Q,Energi!$N:$N,$M3,Energi!$K:$K,T$2,Energi!$X:$X,$N$1)</f>
        <v>0</v>
      </c>
      <c r="U3" s="14">
        <f ca="1">SUMIFS(Energi!$Q:$Q,Energi!$N:$N,$M3,Energi!$K:$K,U$2,Energi!$X:$X,$N$1)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SUMIFS(Energi!$Q:$Q,Energi!$N:$N,$B4,Energi!$K:$K,C$2)</f>
        <v>0</v>
      </c>
      <c r="D4" s="17">
        <f ca="1">SUMIFS(Energi!$Q:$Q,Energi!$N:$N,$B4,Energi!$K:$K,D$2)</f>
        <v>0</v>
      </c>
      <c r="E4" s="17">
        <f ca="1">SUMIFS(Energi!$Q:$Q,Energi!$N:$N,$B4,Energi!$K:$K,E$2)</f>
        <v>0</v>
      </c>
      <c r="F4" s="17">
        <f ca="1">SUMIFS(Energi!$Q:$Q,Energi!$N:$N,$B4,Energi!$K:$K,F$2)</f>
        <v>0</v>
      </c>
      <c r="G4" s="17">
        <f ca="1">SUMIFS(Energi!$Q:$Q,Energi!$N:$N,$B4,Energi!$K:$K,G$2)</f>
        <v>0</v>
      </c>
      <c r="H4" s="17">
        <f ca="1">SUMIFS(Energi!$Q:$Q,Energi!$N:$N,$B4,Energi!$K:$K,H$2)</f>
        <v>0</v>
      </c>
      <c r="I4" s="17">
        <f ca="1">SUMIFS(Energi!$Q:$Q,Energi!$N:$N,$B4,Energi!$K:$K,I$2)</f>
        <v>0</v>
      </c>
      <c r="J4" s="18">
        <f ca="1">SUMIFS(Energi!$Q:$Q,Energi!$N:$N,$B4)-SUM(C4:I4)</f>
        <v>0</v>
      </c>
      <c r="K4" s="15">
        <f t="shared" ref="K4:K9" ca="1" si="0">SUM(C4:J4)</f>
        <v>0</v>
      </c>
      <c r="M4" s="11" t="s">
        <v>68</v>
      </c>
      <c r="N4" s="16">
        <f ca="1">SUMIFS(Energi!$Q:$Q,Energi!$N:$N,$M4,Energi!$K:$K,N$2,Energi!$X:$X,$N$1)</f>
        <v>0</v>
      </c>
      <c r="O4" s="17">
        <f ca="1">SUMIFS(Energi!$Q:$Q,Energi!$N:$N,$M4,Energi!$K:$K,O$2,Energi!$X:$X,$N$1)</f>
        <v>0</v>
      </c>
      <c r="P4" s="17">
        <f ca="1">SUMIFS(Energi!$Q:$Q,Energi!$N:$N,$M4,Energi!$K:$K,P$2,Energi!$X:$X,$N$1)</f>
        <v>0</v>
      </c>
      <c r="Q4" s="17">
        <f ca="1">SUMIFS(Energi!$Q:$Q,Energi!$N:$N,$M4,Energi!$K:$K,Q$2,Energi!$X:$X,$N$1)</f>
        <v>0</v>
      </c>
      <c r="R4" s="17">
        <f ca="1">SUMIFS(Energi!$Q:$Q,Energi!$N:$N,$M4,Energi!$K:$K,R$2,Energi!$X:$X,$N$1)</f>
        <v>0</v>
      </c>
      <c r="S4" s="17">
        <f ca="1">SUMIFS(Energi!$Q:$Q,Energi!$N:$N,$M4,Energi!$K:$K,S$2,Energi!$X:$X,$N$1)</f>
        <v>0</v>
      </c>
      <c r="T4" s="17">
        <f ca="1">SUMIFS(Energi!$Q:$Q,Energi!$N:$N,$M4,Energi!$K:$K,T$2,Energi!$X:$X,$N$1)</f>
        <v>0</v>
      </c>
      <c r="U4" s="18">
        <f ca="1">SUMIFS(Energi!$Q:$Q,Energi!$N:$N,$M4,Energi!$K:$K,U$2,Energi!$X:$X,$N$1)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SUMIFS(Energi!$Q:$Q,Energi!$N:$N,$B5,Energi!$K:$K,C$2)</f>
        <v>0</v>
      </c>
      <c r="D5" s="17">
        <f ca="1">SUMIFS(Energi!$Q:$Q,Energi!$N:$N,$B5,Energi!$K:$K,D$2)</f>
        <v>0</v>
      </c>
      <c r="E5" s="17">
        <f ca="1">SUMIFS(Energi!$Q:$Q,Energi!$N:$N,$B5,Energi!$K:$K,E$2)</f>
        <v>0</v>
      </c>
      <c r="F5" s="17">
        <f ca="1">SUMIFS(Energi!$Q:$Q,Energi!$N:$N,$B5,Energi!$K:$K,F$2)</f>
        <v>0</v>
      </c>
      <c r="G5" s="17">
        <f ca="1">SUMIFS(Energi!$Q:$Q,Energi!$N:$N,$B5,Energi!$K:$K,G$2)</f>
        <v>0</v>
      </c>
      <c r="H5" s="17">
        <f ca="1">SUMIFS(Energi!$Q:$Q,Energi!$N:$N,$B5,Energi!$K:$K,H$2)</f>
        <v>0</v>
      </c>
      <c r="I5" s="17">
        <f ca="1">SUMIFS(Energi!$Q:$Q,Energi!$N:$N,$B5,Energi!$K:$K,I$2)</f>
        <v>0</v>
      </c>
      <c r="J5" s="18">
        <f ca="1">SUMIFS(Energi!$Q:$Q,Energi!$N:$N,$B5)-SUM(C5:I5)</f>
        <v>0</v>
      </c>
      <c r="K5" s="15">
        <f t="shared" ca="1" si="0"/>
        <v>0</v>
      </c>
      <c r="M5" s="11" t="s">
        <v>72</v>
      </c>
      <c r="N5" s="16">
        <f ca="1">SUMIFS(Energi!$Q:$Q,Energi!$N:$N,$M5,Energi!$K:$K,N$2,Energi!$X:$X,$N$1)</f>
        <v>0</v>
      </c>
      <c r="O5" s="17">
        <f ca="1">SUMIFS(Energi!$Q:$Q,Energi!$N:$N,$M5,Energi!$K:$K,O$2,Energi!$X:$X,$N$1)</f>
        <v>0</v>
      </c>
      <c r="P5" s="17">
        <f ca="1">SUMIFS(Energi!$Q:$Q,Energi!$N:$N,$M5,Energi!$K:$K,P$2,Energi!$X:$X,$N$1)</f>
        <v>0</v>
      </c>
      <c r="Q5" s="17">
        <f ca="1">SUMIFS(Energi!$Q:$Q,Energi!$N:$N,$M5,Energi!$K:$K,Q$2,Energi!$X:$X,$N$1)</f>
        <v>0</v>
      </c>
      <c r="R5" s="17">
        <f ca="1">SUMIFS(Energi!$Q:$Q,Energi!$N:$N,$M5,Energi!$K:$K,R$2,Energi!$X:$X,$N$1)</f>
        <v>0</v>
      </c>
      <c r="S5" s="17">
        <f ca="1">SUMIFS(Energi!$Q:$Q,Energi!$N:$N,$M5,Energi!$K:$K,S$2,Energi!$X:$X,$N$1)</f>
        <v>0</v>
      </c>
      <c r="T5" s="17">
        <f ca="1">SUMIFS(Energi!$Q:$Q,Energi!$N:$N,$M5,Energi!$K:$K,T$2,Energi!$X:$X,$N$1)</f>
        <v>0</v>
      </c>
      <c r="U5" s="18">
        <f ca="1">SUMIFS(Energi!$Q:$Q,Energi!$N:$N,$M5,Energi!$K:$K,U$2,Energi!$X:$X,$N$1)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SUMIFS(Energi!$Q:$Q,Energi!$N:$N,$B6,Energi!$K:$K,C$2)</f>
        <v>0</v>
      </c>
      <c r="D6" s="17">
        <f ca="1">SUMIFS(Energi!$Q:$Q,Energi!$N:$N,$B6,Energi!$K:$K,D$2)</f>
        <v>0</v>
      </c>
      <c r="E6" s="17">
        <f ca="1">SUMIFS(Energi!$Q:$Q,Energi!$N:$N,$B6,Energi!$K:$K,E$2)</f>
        <v>0</v>
      </c>
      <c r="F6" s="17">
        <f ca="1">SUMIFS(Energi!$Q:$Q,Energi!$N:$N,$B6,Energi!$K:$K,F$2)</f>
        <v>0</v>
      </c>
      <c r="G6" s="17">
        <f ca="1">SUMIFS(Energi!$Q:$Q,Energi!$N:$N,$B6,Energi!$K:$K,G$2)</f>
        <v>0</v>
      </c>
      <c r="H6" s="17">
        <f ca="1">SUMIFS(Energi!$Q:$Q,Energi!$N:$N,$B6,Energi!$K:$K,H$2)</f>
        <v>0</v>
      </c>
      <c r="I6" s="17">
        <f ca="1">SUMIFS(Energi!$Q:$Q,Energi!$N:$N,$B6,Energi!$K:$K,I$2)</f>
        <v>0</v>
      </c>
      <c r="J6" s="18">
        <f ca="1">SUMIFS(Energi!$Q:$Q,Energi!$N:$N,$B6)-SUM(C6:I6)</f>
        <v>0</v>
      </c>
      <c r="K6" s="15">
        <f t="shared" ca="1" si="0"/>
        <v>0</v>
      </c>
      <c r="M6" s="11" t="s">
        <v>83</v>
      </c>
      <c r="N6" s="16">
        <f ca="1">SUMIFS(Energi!$Q:$Q,Energi!$N:$N,$M6,Energi!$K:$K,N$2,Energi!$X:$X,$N$1)</f>
        <v>0</v>
      </c>
      <c r="O6" s="17">
        <f ca="1">SUMIFS(Energi!$Q:$Q,Energi!$N:$N,$M6,Energi!$K:$K,O$2,Energi!$X:$X,$N$1)</f>
        <v>0</v>
      </c>
      <c r="P6" s="17">
        <f ca="1">SUMIFS(Energi!$Q:$Q,Energi!$N:$N,$M6,Energi!$K:$K,P$2,Energi!$X:$X,$N$1)</f>
        <v>0</v>
      </c>
      <c r="Q6" s="17">
        <f ca="1">SUMIFS(Energi!$Q:$Q,Energi!$N:$N,$M6,Energi!$K:$K,Q$2,Energi!$X:$X,$N$1)</f>
        <v>0</v>
      </c>
      <c r="R6" s="17">
        <f ca="1">SUMIFS(Energi!$Q:$Q,Energi!$N:$N,$M6,Energi!$K:$K,R$2,Energi!$X:$X,$N$1)</f>
        <v>0</v>
      </c>
      <c r="S6" s="17">
        <f ca="1">SUMIFS(Energi!$Q:$Q,Energi!$N:$N,$M6,Energi!$K:$K,S$2,Energi!$X:$X,$N$1)</f>
        <v>0</v>
      </c>
      <c r="T6" s="17">
        <f ca="1">SUMIFS(Energi!$Q:$Q,Energi!$N:$N,$M6,Energi!$K:$K,T$2,Energi!$X:$X,$N$1)</f>
        <v>0</v>
      </c>
      <c r="U6" s="18">
        <f ca="1">SUMIFS(Energi!$Q:$Q,Energi!$N:$N,$M6,Energi!$K:$K,U$2,Energi!$X:$X,$N$1)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SUMIFS(Energi!$Q:$Q,Energi!$N:$N,$B7,Energi!$K:$K,C$2)</f>
        <v>0</v>
      </c>
      <c r="D7" s="20">
        <f ca="1">SUMIFS(Energi!$Q:$Q,Energi!$N:$N,$B7,Energi!$K:$K,D$2)</f>
        <v>0</v>
      </c>
      <c r="E7" s="20">
        <f ca="1">SUMIFS(Energi!$Q:$Q,Energi!$N:$N,$B7,Energi!$K:$K,E$2)</f>
        <v>0</v>
      </c>
      <c r="F7" s="20">
        <f ca="1">SUMIFS(Energi!$Q:$Q,Energi!$N:$N,$B7,Energi!$K:$K,F$2)</f>
        <v>0</v>
      </c>
      <c r="G7" s="20">
        <f ca="1">SUMIFS(Energi!$Q:$Q,Energi!$N:$N,$B7,Energi!$K:$K,G$2)</f>
        <v>0</v>
      </c>
      <c r="H7" s="20">
        <f ca="1">SUMIFS(Energi!$Q:$Q,Energi!$N:$N,$B7,Energi!$K:$K,H$2)</f>
        <v>0</v>
      </c>
      <c r="I7" s="20">
        <f ca="1">SUMIFS(Energi!$Q:$Q,Energi!$N:$N,$B7,Energi!$K:$K,I$2)</f>
        <v>0</v>
      </c>
      <c r="J7" s="21">
        <f ca="1">SUMIFS(Energi!$Q:$Q,Energi!$N:$N,$B7)-SUM(C7:I7)</f>
        <v>0</v>
      </c>
      <c r="K7" s="15">
        <f t="shared" ca="1" si="0"/>
        <v>0</v>
      </c>
      <c r="M7" s="11" t="s">
        <v>95</v>
      </c>
      <c r="N7" s="19">
        <f ca="1">SUMIFS(Energi!$Q:$Q,Energi!$N:$N,$M7,Energi!$K:$K,N$2,Energi!$X:$X,$N$1)</f>
        <v>0</v>
      </c>
      <c r="O7" s="20">
        <f ca="1">SUMIFS(Energi!$Q:$Q,Energi!$N:$N,$M7,Energi!$K:$K,O$2,Energi!$X:$X,$N$1)</f>
        <v>0</v>
      </c>
      <c r="P7" s="20">
        <f ca="1">SUMIFS(Energi!$Q:$Q,Energi!$N:$N,$M7,Energi!$K:$K,P$2,Energi!$X:$X,$N$1)</f>
        <v>0</v>
      </c>
      <c r="Q7" s="20">
        <f ca="1">SUMIFS(Energi!$Q:$Q,Energi!$N:$N,$M7,Energi!$K:$K,Q$2,Energi!$X:$X,$N$1)</f>
        <v>0</v>
      </c>
      <c r="R7" s="20">
        <f ca="1">SUMIFS(Energi!$Q:$Q,Energi!$N:$N,$M7,Energi!$K:$K,R$2,Energi!$X:$X,$N$1)</f>
        <v>0</v>
      </c>
      <c r="S7" s="20">
        <f ca="1">SUMIFS(Energi!$Q:$Q,Energi!$N:$N,$M7,Energi!$K:$K,S$2,Energi!$X:$X,$N$1)</f>
        <v>0</v>
      </c>
      <c r="T7" s="20">
        <f ca="1">SUMIFS(Energi!$Q:$Q,Energi!$N:$N,$M7,Energi!$K:$K,T$2,Energi!$X:$X,$N$1)</f>
        <v>0</v>
      </c>
      <c r="U7" s="21">
        <f ca="1">SUMIFS(Energi!$Q:$Q,Energi!$N:$N,$M7,Energi!$K:$K,U$2,Energi!$X:$X,$N$1)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SUMIFS(Energi!$Q:$Q,Energi!$K:$K,C$2)-SUM(C3:C7)</f>
        <v>0</v>
      </c>
      <c r="D8" s="20">
        <f ca="1">SUMIFS(Energi!$Q:$Q,Energi!$K:$K,D$2)-SUM(D3:D7)</f>
        <v>0</v>
      </c>
      <c r="E8" s="20">
        <f ca="1">SUMIFS(Energi!$Q:$Q,Energi!$K:$K,E$2)-SUM(E3:E7)</f>
        <v>0</v>
      </c>
      <c r="F8" s="20">
        <f ca="1">SUMIFS(Energi!$Q:$Q,Energi!$K:$K,F$2)-SUM(F3:F7)</f>
        <v>0</v>
      </c>
      <c r="G8" s="20">
        <f ca="1">SUMIFS(Energi!$Q:$Q,Energi!$K:$K,G$2)-SUM(G3:G7)</f>
        <v>0</v>
      </c>
      <c r="H8" s="20">
        <f ca="1">SUMIFS(Energi!$Q:$Q,Energi!$K:$K,H$2)-SUM(H3:H7)</f>
        <v>0</v>
      </c>
      <c r="I8" s="20">
        <f ca="1">SUMIFS(Energi!$Q:$Q,Energi!$K:$K,I$2)-SUM(I3:I7)</f>
        <v>0</v>
      </c>
      <c r="J8" s="23"/>
      <c r="K8" s="24">
        <f t="shared" ca="1" si="0"/>
        <v>0</v>
      </c>
      <c r="M8" s="22" t="s">
        <v>174</v>
      </c>
      <c r="N8" s="20">
        <f ca="1">SUMIFS(Energi!$Q:$Q,Energi!$K:$K,N$2,Energi!$X:$X,$N$1)-SUM(N3:N7)</f>
        <v>0</v>
      </c>
      <c r="O8" s="20">
        <f ca="1">SUMIFS(Energi!$Q:$Q,Energi!$K:$K,O$2,Energi!$X:$X,$N$1)-SUM(O3:O7)</f>
        <v>0</v>
      </c>
      <c r="P8" s="20">
        <f ca="1">SUMIFS(Energi!$Q:$Q,Energi!$K:$K,P$2,Energi!$X:$X,$N$1)-SUM(P3:P7)</f>
        <v>0</v>
      </c>
      <c r="Q8" s="20">
        <f ca="1">SUMIFS(Energi!$Q:$Q,Energi!$K:$K,Q$2,Energi!$X:$X,$N$1)-SUM(Q3:Q7)</f>
        <v>0</v>
      </c>
      <c r="R8" s="20">
        <f ca="1">SUMIFS(Energi!$Q:$Q,Energi!$K:$K,R$2,Energi!$X:$X,$N$1)-SUM(R3:R7)</f>
        <v>0</v>
      </c>
      <c r="S8" s="20">
        <f ca="1">SUMIFS(Energi!$Q:$Q,Energi!$K:$K,S$2,Energi!$X:$X,$N$1)-SUM(S3:S7)</f>
        <v>0</v>
      </c>
      <c r="T8" s="20">
        <f ca="1">SUMIFS(Energi!$Q:$Q,Energi!$K:$K,T$2,Energi!$X:$X,$N$1)-SUM(T3:T7)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SUMIFS(Energi!$Q:$Q,Energi!$M:$M,$B13,Energi!$K:$K,C$12)</f>
        <v>0</v>
      </c>
      <c r="D13" s="13">
        <f ca="1">SUMIFS(Energi!$Q:$Q,Energi!$M:$M,$B13,Energi!$K:$K,D$12)</f>
        <v>0</v>
      </c>
      <c r="E13" s="13">
        <f ca="1">SUMIFS(Energi!$Q:$Q,Energi!$M:$M,$B13,Energi!$K:$K,E$12)</f>
        <v>0</v>
      </c>
      <c r="F13" s="13">
        <f ca="1">SUMIFS(Energi!$Q:$Q,Energi!$M:$M,$B13,Energi!$K:$K,F$12)</f>
        <v>0</v>
      </c>
      <c r="G13" s="13">
        <f ca="1">SUMIFS(Energi!$Q:$Q,Energi!$M:$M,$B13,Energi!$K:$K,G$12)</f>
        <v>0</v>
      </c>
      <c r="H13" s="13">
        <f ca="1">SUMIFS(Energi!$Q:$Q,Energi!$M:$M,$B13,Energi!$K:$K,H$12)</f>
        <v>0</v>
      </c>
      <c r="I13" s="13">
        <f ca="1">SUMIFS(Energi!$Q:$Q,Energi!$M:$M,$B13,Energi!$K:$K,I$12)</f>
        <v>0</v>
      </c>
      <c r="J13" s="14">
        <f ca="1">SUMIFS(Energi!$Q:$Q,Energi!$M:$M,$B13)-SUM(C13:I13)</f>
        <v>0</v>
      </c>
      <c r="K13" s="35">
        <f t="shared" ref="K13:K39" ca="1" si="6">SUM(C13:J13)</f>
        <v>0</v>
      </c>
      <c r="M13" s="34" t="s">
        <v>57</v>
      </c>
      <c r="N13" s="12">
        <f ca="1">SUMIFS(Energi!$Q:$Q,Energi!$M:$M,$M13,Energi!$K:$K,N$12,Energi!$X:$X,$N$1)</f>
        <v>0</v>
      </c>
      <c r="O13" s="13">
        <f ca="1">SUMIFS(Energi!$Q:$Q,Energi!$M:$M,$M13,Energi!$K:$K,O$12,Energi!$X:$X,$N$1)</f>
        <v>0</v>
      </c>
      <c r="P13" s="13">
        <f ca="1">SUMIFS(Energi!$Q:$Q,Energi!$M:$M,$M13,Energi!$K:$K,P$12,Energi!$X:$X,$N$1)</f>
        <v>0</v>
      </c>
      <c r="Q13" s="13">
        <f ca="1">SUMIFS(Energi!$Q:$Q,Energi!$M:$M,$M13,Energi!$K:$K,Q$12,Energi!$X:$X,$N$1)</f>
        <v>0</v>
      </c>
      <c r="R13" s="13">
        <f ca="1">SUMIFS(Energi!$Q:$Q,Energi!$M:$M,$M13,Energi!$K:$K,R$12,Energi!$X:$X,$N$1)</f>
        <v>0</v>
      </c>
      <c r="S13" s="13">
        <f ca="1">SUMIFS(Energi!$Q:$Q,Energi!$M:$M,$M13,Energi!$K:$K,S$12,Energi!$X:$X,$N$1)</f>
        <v>0</v>
      </c>
      <c r="T13" s="13">
        <f ca="1">SUMIFS(Energi!$Q:$Q,Energi!$M:$M,$M13,Energi!$K:$K,T$12,Energi!$X:$X,$N$1)</f>
        <v>0</v>
      </c>
      <c r="U13" s="14">
        <f ca="1">SUMIFS(Energi!$Q:$Q,Energi!$M:$M,$M13,Energi!$K:$K,U$12,Energi!$X:$X,$N$1)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SUMIFS(Energi!$Q:$Q,Energi!$M:$M,$B14,Energi!$K:$K,C$12)</f>
        <v>0</v>
      </c>
      <c r="D14" s="17">
        <f ca="1">SUMIFS(Energi!$Q:$Q,Energi!$M:$M,$B14,Energi!$K:$K,D$12)</f>
        <v>0</v>
      </c>
      <c r="E14" s="17">
        <f ca="1">SUMIFS(Energi!$Q:$Q,Energi!$M:$M,$B14,Energi!$K:$K,E$12)</f>
        <v>0</v>
      </c>
      <c r="F14" s="17">
        <f ca="1">SUMIFS(Energi!$Q:$Q,Energi!$M:$M,$B14,Energi!$K:$K,F$12)</f>
        <v>0</v>
      </c>
      <c r="G14" s="17">
        <f ca="1">SUMIFS(Energi!$Q:$Q,Energi!$M:$M,$B14,Energi!$K:$K,G$12)</f>
        <v>0</v>
      </c>
      <c r="H14" s="17">
        <f ca="1">SUMIFS(Energi!$Q:$Q,Energi!$M:$M,$B14,Energi!$K:$K,H$12)</f>
        <v>0</v>
      </c>
      <c r="I14" s="17">
        <f ca="1">SUMIFS(Energi!$Q:$Q,Energi!$M:$M,$B14,Energi!$K:$K,I$12)</f>
        <v>0</v>
      </c>
      <c r="J14" s="18">
        <f ca="1">SUMIFS(Energi!$Q:$Q,Energi!$M:$M,$B14)-SUM(C14:I14)</f>
        <v>0</v>
      </c>
      <c r="K14" s="15">
        <f t="shared" ca="1" si="6"/>
        <v>0</v>
      </c>
      <c r="M14" s="11" t="s">
        <v>60</v>
      </c>
      <c r="N14" s="16">
        <f ca="1">SUMIFS(Energi!$Q:$Q,Energi!$M:$M,$M14,Energi!$K:$K,N$12,Energi!$X:$X,$N$1)</f>
        <v>0</v>
      </c>
      <c r="O14" s="17">
        <f ca="1">SUMIFS(Energi!$Q:$Q,Energi!$M:$M,$M14,Energi!$K:$K,O$12,Energi!$X:$X,$N$1)</f>
        <v>0</v>
      </c>
      <c r="P14" s="17">
        <f ca="1">SUMIFS(Energi!$Q:$Q,Energi!$M:$M,$M14,Energi!$K:$K,P$12,Energi!$X:$X,$N$1)</f>
        <v>0</v>
      </c>
      <c r="Q14" s="17">
        <f ca="1">SUMIFS(Energi!$Q:$Q,Energi!$M:$M,$M14,Energi!$K:$K,Q$12,Energi!$X:$X,$N$1)</f>
        <v>0</v>
      </c>
      <c r="R14" s="17">
        <f ca="1">SUMIFS(Energi!$Q:$Q,Energi!$M:$M,$M14,Energi!$K:$K,R$12,Energi!$X:$X,$N$1)</f>
        <v>0</v>
      </c>
      <c r="S14" s="17">
        <f ca="1">SUMIFS(Energi!$Q:$Q,Energi!$M:$M,$M14,Energi!$K:$K,S$12,Energi!$X:$X,$N$1)</f>
        <v>0</v>
      </c>
      <c r="T14" s="17">
        <f ca="1">SUMIFS(Energi!$Q:$Q,Energi!$M:$M,$M14,Energi!$K:$K,T$12,Energi!$X:$X,$N$1)</f>
        <v>0</v>
      </c>
      <c r="U14" s="18">
        <f ca="1">SUMIFS(Energi!$Q:$Q,Energi!$M:$M,$M14,Energi!$K:$K,U$12,Energi!$X:$X,$N$1)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SUMIFS(Energi!$Q:$Q,Energi!$M:$M,$B15,Energi!$K:$K,C$12)</f>
        <v>0</v>
      </c>
      <c r="D15" s="17">
        <f ca="1">SUMIFS(Energi!$Q:$Q,Energi!$M:$M,$B15,Energi!$K:$K,D$12)</f>
        <v>0</v>
      </c>
      <c r="E15" s="17">
        <f ca="1">SUMIFS(Energi!$Q:$Q,Energi!$M:$M,$B15,Energi!$K:$K,E$12)</f>
        <v>0</v>
      </c>
      <c r="F15" s="17">
        <f ca="1">SUMIFS(Energi!$Q:$Q,Energi!$M:$M,$B15,Energi!$K:$K,F$12)</f>
        <v>0</v>
      </c>
      <c r="G15" s="17">
        <f ca="1">SUMIFS(Energi!$Q:$Q,Energi!$M:$M,$B15,Energi!$K:$K,G$12)</f>
        <v>0</v>
      </c>
      <c r="H15" s="17">
        <f ca="1">SUMIFS(Energi!$Q:$Q,Energi!$M:$M,$B15,Energi!$K:$K,H$12)</f>
        <v>0</v>
      </c>
      <c r="I15" s="17">
        <f ca="1">SUMIFS(Energi!$Q:$Q,Energi!$M:$M,$B15,Energi!$K:$K,I$12)</f>
        <v>0</v>
      </c>
      <c r="J15" s="18">
        <f ca="1">SUMIFS(Energi!$Q:$Q,Energi!$M:$M,$B15)-SUM(C15:I15)</f>
        <v>0</v>
      </c>
      <c r="K15" s="15">
        <f t="shared" ca="1" si="6"/>
        <v>0</v>
      </c>
      <c r="M15" s="11" t="s">
        <v>62</v>
      </c>
      <c r="N15" s="16">
        <f ca="1">SUMIFS(Energi!$Q:$Q,Energi!$M:$M,$M15,Energi!$K:$K,N$12,Energi!$X:$X,$N$1)</f>
        <v>0</v>
      </c>
      <c r="O15" s="17">
        <f ca="1">SUMIFS(Energi!$Q:$Q,Energi!$M:$M,$M15,Energi!$K:$K,O$12,Energi!$X:$X,$N$1)</f>
        <v>0</v>
      </c>
      <c r="P15" s="17">
        <f ca="1">SUMIFS(Energi!$Q:$Q,Energi!$M:$M,$M15,Energi!$K:$K,P$12,Energi!$X:$X,$N$1)</f>
        <v>0</v>
      </c>
      <c r="Q15" s="17">
        <f ca="1">SUMIFS(Energi!$Q:$Q,Energi!$M:$M,$M15,Energi!$K:$K,Q$12,Energi!$X:$X,$N$1)</f>
        <v>0</v>
      </c>
      <c r="R15" s="17">
        <f ca="1">SUMIFS(Energi!$Q:$Q,Energi!$M:$M,$M15,Energi!$K:$K,R$12,Energi!$X:$X,$N$1)</f>
        <v>0</v>
      </c>
      <c r="S15" s="17">
        <f ca="1">SUMIFS(Energi!$Q:$Q,Energi!$M:$M,$M15,Energi!$K:$K,S$12,Energi!$X:$X,$N$1)</f>
        <v>0</v>
      </c>
      <c r="T15" s="17">
        <f ca="1">SUMIFS(Energi!$Q:$Q,Energi!$M:$M,$M15,Energi!$K:$K,T$12,Energi!$X:$X,$N$1)</f>
        <v>0</v>
      </c>
      <c r="U15" s="18">
        <f ca="1">SUMIFS(Energi!$Q:$Q,Energi!$M:$M,$M15,Energi!$K:$K,U$12,Energi!$X:$X,$N$1)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SUMIFS(Energi!$Q:$Q,Energi!$M:$M,$B16,Energi!$K:$K,C$12)</f>
        <v>0</v>
      </c>
      <c r="D16" s="17">
        <f ca="1">SUMIFS(Energi!$Q:$Q,Energi!$M:$M,$B16,Energi!$K:$K,D$12)</f>
        <v>0</v>
      </c>
      <c r="E16" s="17">
        <f ca="1">SUMIFS(Energi!$Q:$Q,Energi!$M:$M,$B16,Energi!$K:$K,E$12)</f>
        <v>0</v>
      </c>
      <c r="F16" s="17">
        <f ca="1">SUMIFS(Energi!$Q:$Q,Energi!$M:$M,$B16,Energi!$K:$K,F$12)</f>
        <v>0</v>
      </c>
      <c r="G16" s="17">
        <f ca="1">SUMIFS(Energi!$Q:$Q,Energi!$M:$M,$B16,Energi!$K:$K,G$12)</f>
        <v>0</v>
      </c>
      <c r="H16" s="17">
        <f ca="1">SUMIFS(Energi!$Q:$Q,Energi!$M:$M,$B16,Energi!$K:$K,H$12)</f>
        <v>0</v>
      </c>
      <c r="I16" s="17">
        <f ca="1">SUMIFS(Energi!$Q:$Q,Energi!$M:$M,$B16,Energi!$K:$K,I$12)</f>
        <v>0</v>
      </c>
      <c r="J16" s="18">
        <f ca="1">SUMIFS(Energi!$Q:$Q,Energi!$M:$M,$B16)-SUM(C16:I16)</f>
        <v>0</v>
      </c>
      <c r="K16" s="15">
        <f t="shared" ca="1" si="6"/>
        <v>0</v>
      </c>
      <c r="M16" s="11" t="s">
        <v>65</v>
      </c>
      <c r="N16" s="16">
        <f ca="1">SUMIFS(Energi!$Q:$Q,Energi!$M:$M,$M16,Energi!$K:$K,N$12,Energi!$X:$X,$N$1)</f>
        <v>0</v>
      </c>
      <c r="O16" s="17">
        <f ca="1">SUMIFS(Energi!$Q:$Q,Energi!$M:$M,$M16,Energi!$K:$K,O$12,Energi!$X:$X,$N$1)</f>
        <v>0</v>
      </c>
      <c r="P16" s="17">
        <f ca="1">SUMIFS(Energi!$Q:$Q,Energi!$M:$M,$M16,Energi!$K:$K,P$12,Energi!$X:$X,$N$1)</f>
        <v>0</v>
      </c>
      <c r="Q16" s="17">
        <f ca="1">SUMIFS(Energi!$Q:$Q,Energi!$M:$M,$M16,Energi!$K:$K,Q$12,Energi!$X:$X,$N$1)</f>
        <v>0</v>
      </c>
      <c r="R16" s="17">
        <f ca="1">SUMIFS(Energi!$Q:$Q,Energi!$M:$M,$M16,Energi!$K:$K,R$12,Energi!$X:$X,$N$1)</f>
        <v>0</v>
      </c>
      <c r="S16" s="17">
        <f ca="1">SUMIFS(Energi!$Q:$Q,Energi!$M:$M,$M16,Energi!$K:$K,S$12,Energi!$X:$X,$N$1)</f>
        <v>0</v>
      </c>
      <c r="T16" s="17">
        <f ca="1">SUMIFS(Energi!$Q:$Q,Energi!$M:$M,$M16,Energi!$K:$K,T$12,Energi!$X:$X,$N$1)</f>
        <v>0</v>
      </c>
      <c r="U16" s="18">
        <f ca="1">SUMIFS(Energi!$Q:$Q,Energi!$M:$M,$M16,Energi!$K:$K,U$12,Energi!$X:$X,$N$1)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SUMIFS(Energi!$Q:$Q,Energi!$M:$M,$B17,Energi!$K:$K,C$12)</f>
        <v>0</v>
      </c>
      <c r="D17" s="17">
        <f ca="1">SUMIFS(Energi!$Q:$Q,Energi!$M:$M,$B17,Energi!$K:$K,D$12)</f>
        <v>0</v>
      </c>
      <c r="E17" s="17">
        <f ca="1">SUMIFS(Energi!$Q:$Q,Energi!$M:$M,$B17,Energi!$K:$K,E$12)</f>
        <v>0</v>
      </c>
      <c r="F17" s="17">
        <f ca="1">SUMIFS(Energi!$Q:$Q,Energi!$M:$M,$B17,Energi!$K:$K,F$12)</f>
        <v>0</v>
      </c>
      <c r="G17" s="17">
        <f ca="1">SUMIFS(Energi!$Q:$Q,Energi!$M:$M,$B17,Energi!$K:$K,G$12)</f>
        <v>0</v>
      </c>
      <c r="H17" s="17">
        <f ca="1">SUMIFS(Energi!$Q:$Q,Energi!$M:$M,$B17,Energi!$K:$K,H$12)</f>
        <v>0</v>
      </c>
      <c r="I17" s="17">
        <f ca="1">SUMIFS(Energi!$Q:$Q,Energi!$M:$M,$B17,Energi!$K:$K,I$12)</f>
        <v>0</v>
      </c>
      <c r="J17" s="18">
        <f ca="1">SUMIFS(Energi!$Q:$Q,Energi!$M:$M,$B17)-SUM(C17:I17)</f>
        <v>0</v>
      </c>
      <c r="K17" s="15">
        <f t="shared" ca="1" si="6"/>
        <v>0</v>
      </c>
      <c r="M17" s="11" t="s">
        <v>66</v>
      </c>
      <c r="N17" s="16">
        <f ca="1">SUMIFS(Energi!$Q:$Q,Energi!$M:$M,$M17,Energi!$K:$K,N$12,Energi!$X:$X,$N$1)</f>
        <v>0</v>
      </c>
      <c r="O17" s="17">
        <f ca="1">SUMIFS(Energi!$Q:$Q,Energi!$M:$M,$M17,Energi!$K:$K,O$12,Energi!$X:$X,$N$1)</f>
        <v>0</v>
      </c>
      <c r="P17" s="17">
        <f ca="1">SUMIFS(Energi!$Q:$Q,Energi!$M:$M,$M17,Energi!$K:$K,P$12,Energi!$X:$X,$N$1)</f>
        <v>0</v>
      </c>
      <c r="Q17" s="17">
        <f ca="1">SUMIFS(Energi!$Q:$Q,Energi!$M:$M,$M17,Energi!$K:$K,Q$12,Energi!$X:$X,$N$1)</f>
        <v>0</v>
      </c>
      <c r="R17" s="17">
        <f ca="1">SUMIFS(Energi!$Q:$Q,Energi!$M:$M,$M17,Energi!$K:$K,R$12,Energi!$X:$X,$N$1)</f>
        <v>0</v>
      </c>
      <c r="S17" s="17">
        <f ca="1">SUMIFS(Energi!$Q:$Q,Energi!$M:$M,$M17,Energi!$K:$K,S$12,Energi!$X:$X,$N$1)</f>
        <v>0</v>
      </c>
      <c r="T17" s="17">
        <f ca="1">SUMIFS(Energi!$Q:$Q,Energi!$M:$M,$M17,Energi!$K:$K,T$12,Energi!$X:$X,$N$1)</f>
        <v>0</v>
      </c>
      <c r="U17" s="18">
        <f ca="1">SUMIFS(Energi!$Q:$Q,Energi!$M:$M,$M17,Energi!$K:$K,U$12,Energi!$X:$X,$N$1)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SUMIFS(Energi!$Q:$Q,Energi!$M:$M,$B18,Energi!$K:$K,C$12)</f>
        <v>0</v>
      </c>
      <c r="D18" s="17">
        <f ca="1">SUMIFS(Energi!$Q:$Q,Energi!$M:$M,$B18,Energi!$K:$K,D$12)</f>
        <v>0</v>
      </c>
      <c r="E18" s="17">
        <f ca="1">SUMIFS(Energi!$Q:$Q,Energi!$M:$M,$B18,Energi!$K:$K,E$12)</f>
        <v>0</v>
      </c>
      <c r="F18" s="17">
        <f ca="1">SUMIFS(Energi!$Q:$Q,Energi!$M:$M,$B18,Energi!$K:$K,F$12)</f>
        <v>0</v>
      </c>
      <c r="G18" s="17">
        <f ca="1">SUMIFS(Energi!$Q:$Q,Energi!$M:$M,$B18,Energi!$K:$K,G$12)</f>
        <v>0</v>
      </c>
      <c r="H18" s="17">
        <f ca="1">SUMIFS(Energi!$Q:$Q,Energi!$M:$M,$B18,Energi!$K:$K,H$12)</f>
        <v>0</v>
      </c>
      <c r="I18" s="17">
        <f ca="1">SUMIFS(Energi!$Q:$Q,Energi!$M:$M,$B18,Energi!$K:$K,I$12)</f>
        <v>0</v>
      </c>
      <c r="J18" s="18">
        <f ca="1">SUMIFS(Energi!$Q:$Q,Energi!$M:$M,$B18)-SUM(C18:I18)</f>
        <v>0</v>
      </c>
      <c r="K18" s="15">
        <f t="shared" ca="1" si="6"/>
        <v>0</v>
      </c>
      <c r="M18" s="11" t="s">
        <v>67</v>
      </c>
      <c r="N18" s="16">
        <f ca="1">SUMIFS(Energi!$Q:$Q,Energi!$M:$M,$M18,Energi!$K:$K,N$12,Energi!$X:$X,$N$1)</f>
        <v>0</v>
      </c>
      <c r="O18" s="17">
        <f ca="1">SUMIFS(Energi!$Q:$Q,Energi!$M:$M,$M18,Energi!$K:$K,O$12,Energi!$X:$X,$N$1)</f>
        <v>0</v>
      </c>
      <c r="P18" s="17">
        <f ca="1">SUMIFS(Energi!$Q:$Q,Energi!$M:$M,$M18,Energi!$K:$K,P$12,Energi!$X:$X,$N$1)</f>
        <v>0</v>
      </c>
      <c r="Q18" s="17">
        <f ca="1">SUMIFS(Energi!$Q:$Q,Energi!$M:$M,$M18,Energi!$K:$K,Q$12,Energi!$X:$X,$N$1)</f>
        <v>0</v>
      </c>
      <c r="R18" s="17">
        <f ca="1">SUMIFS(Energi!$Q:$Q,Energi!$M:$M,$M18,Energi!$K:$K,R$12,Energi!$X:$X,$N$1)</f>
        <v>0</v>
      </c>
      <c r="S18" s="17">
        <f ca="1">SUMIFS(Energi!$Q:$Q,Energi!$M:$M,$M18,Energi!$K:$K,S$12,Energi!$X:$X,$N$1)</f>
        <v>0</v>
      </c>
      <c r="T18" s="17">
        <f ca="1">SUMIFS(Energi!$Q:$Q,Energi!$M:$M,$M18,Energi!$K:$K,T$12,Energi!$X:$X,$N$1)</f>
        <v>0</v>
      </c>
      <c r="U18" s="18">
        <f ca="1">SUMIFS(Energi!$Q:$Q,Energi!$M:$M,$M18,Energi!$K:$K,U$12,Energi!$X:$X,$N$1)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SUMIFS(Energi!$Q:$Q,Energi!$M:$M,$B19,Energi!$K:$K,C$12)</f>
        <v>0</v>
      </c>
      <c r="D19" s="17">
        <f ca="1">SUMIFS(Energi!$Q:$Q,Energi!$M:$M,$B19,Energi!$K:$K,D$12)</f>
        <v>0</v>
      </c>
      <c r="E19" s="17">
        <f ca="1">SUMIFS(Energi!$Q:$Q,Energi!$M:$M,$B19,Energi!$K:$K,E$12)</f>
        <v>0</v>
      </c>
      <c r="F19" s="17">
        <f ca="1">SUMIFS(Energi!$Q:$Q,Energi!$M:$M,$B19,Energi!$K:$K,F$12)</f>
        <v>0</v>
      </c>
      <c r="G19" s="17">
        <f ca="1">SUMIFS(Energi!$Q:$Q,Energi!$M:$M,$B19,Energi!$K:$K,G$12)</f>
        <v>0</v>
      </c>
      <c r="H19" s="17">
        <f ca="1">SUMIFS(Energi!$Q:$Q,Energi!$M:$M,$B19,Energi!$K:$K,H$12)</f>
        <v>0</v>
      </c>
      <c r="I19" s="17">
        <f ca="1">SUMIFS(Energi!$Q:$Q,Energi!$M:$M,$B19,Energi!$K:$K,I$12)</f>
        <v>0</v>
      </c>
      <c r="J19" s="18">
        <f ca="1">SUMIFS(Energi!$Q:$Q,Energi!$M:$M,$B19)-SUM(C19:I19)</f>
        <v>0</v>
      </c>
      <c r="K19" s="15">
        <f t="shared" ca="1" si="6"/>
        <v>0</v>
      </c>
      <c r="M19" s="11" t="s">
        <v>70</v>
      </c>
      <c r="N19" s="16">
        <f ca="1">SUMIFS(Energi!$Q:$Q,Energi!$M:$M,$M19,Energi!$K:$K,N$12,Energi!$X:$X,$N$1)</f>
        <v>0</v>
      </c>
      <c r="O19" s="17">
        <f ca="1">SUMIFS(Energi!$Q:$Q,Energi!$M:$M,$M19,Energi!$K:$K,O$12,Energi!$X:$X,$N$1)</f>
        <v>0</v>
      </c>
      <c r="P19" s="17">
        <f ca="1">SUMIFS(Energi!$Q:$Q,Energi!$M:$M,$M19,Energi!$K:$K,P$12,Energi!$X:$X,$N$1)</f>
        <v>0</v>
      </c>
      <c r="Q19" s="17">
        <f ca="1">SUMIFS(Energi!$Q:$Q,Energi!$M:$M,$M19,Energi!$K:$K,Q$12,Energi!$X:$X,$N$1)</f>
        <v>0</v>
      </c>
      <c r="R19" s="17">
        <f ca="1">SUMIFS(Energi!$Q:$Q,Energi!$M:$M,$M19,Energi!$K:$K,R$12,Energi!$X:$X,$N$1)</f>
        <v>0</v>
      </c>
      <c r="S19" s="17">
        <f ca="1">SUMIFS(Energi!$Q:$Q,Energi!$M:$M,$M19,Energi!$K:$K,S$12,Energi!$X:$X,$N$1)</f>
        <v>0</v>
      </c>
      <c r="T19" s="17">
        <f ca="1">SUMIFS(Energi!$Q:$Q,Energi!$M:$M,$M19,Energi!$K:$K,T$12,Energi!$X:$X,$N$1)</f>
        <v>0</v>
      </c>
      <c r="U19" s="18">
        <f ca="1">SUMIFS(Energi!$Q:$Q,Energi!$M:$M,$M19,Energi!$K:$K,U$12,Energi!$X:$X,$N$1)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SUMIFS(Energi!$Q:$Q,Energi!$M:$M,$B20,Energi!$K:$K,C$12)</f>
        <v>0</v>
      </c>
      <c r="D20" s="17">
        <f ca="1">SUMIFS(Energi!$Q:$Q,Energi!$M:$M,$B20,Energi!$K:$K,D$12)</f>
        <v>0</v>
      </c>
      <c r="E20" s="17">
        <f ca="1">SUMIFS(Energi!$Q:$Q,Energi!$M:$M,$B20,Energi!$K:$K,E$12)</f>
        <v>0</v>
      </c>
      <c r="F20" s="17">
        <f ca="1">SUMIFS(Energi!$Q:$Q,Energi!$M:$M,$B20,Energi!$K:$K,F$12)</f>
        <v>0</v>
      </c>
      <c r="G20" s="17">
        <f ca="1">SUMIFS(Energi!$Q:$Q,Energi!$M:$M,$B20,Energi!$K:$K,G$12)</f>
        <v>0</v>
      </c>
      <c r="H20" s="17">
        <f ca="1">SUMIFS(Energi!$Q:$Q,Energi!$M:$M,$B20,Energi!$K:$K,H$12)</f>
        <v>0</v>
      </c>
      <c r="I20" s="17">
        <f ca="1">SUMIFS(Energi!$Q:$Q,Energi!$M:$M,$B20,Energi!$K:$K,I$12)</f>
        <v>0</v>
      </c>
      <c r="J20" s="18">
        <f ca="1">SUMIFS(Energi!$Q:$Q,Energi!$M:$M,$B20)-SUM(C20:I20)</f>
        <v>0</v>
      </c>
      <c r="K20" s="15">
        <f t="shared" ca="1" si="6"/>
        <v>0</v>
      </c>
      <c r="M20" s="11" t="s">
        <v>41</v>
      </c>
      <c r="N20" s="16">
        <f ca="1">SUMIFS(Energi!$Q:$Q,Energi!$M:$M,$M20,Energi!$K:$K,N$12,Energi!$X:$X,$N$1)</f>
        <v>0</v>
      </c>
      <c r="O20" s="17">
        <f ca="1">SUMIFS(Energi!$Q:$Q,Energi!$M:$M,$M20,Energi!$K:$K,O$12,Energi!$X:$X,$N$1)</f>
        <v>0</v>
      </c>
      <c r="P20" s="17">
        <f ca="1">SUMIFS(Energi!$Q:$Q,Energi!$M:$M,$M20,Energi!$K:$K,P$12,Energi!$X:$X,$N$1)</f>
        <v>0</v>
      </c>
      <c r="Q20" s="17">
        <f ca="1">SUMIFS(Energi!$Q:$Q,Energi!$M:$M,$M20,Energi!$K:$K,Q$12,Energi!$X:$X,$N$1)</f>
        <v>0</v>
      </c>
      <c r="R20" s="17">
        <f ca="1">SUMIFS(Energi!$Q:$Q,Energi!$M:$M,$M20,Energi!$K:$K,R$12,Energi!$X:$X,$N$1)</f>
        <v>0</v>
      </c>
      <c r="S20" s="17">
        <f ca="1">SUMIFS(Energi!$Q:$Q,Energi!$M:$M,$M20,Energi!$K:$K,S$12,Energi!$X:$X,$N$1)</f>
        <v>0</v>
      </c>
      <c r="T20" s="17">
        <f ca="1">SUMIFS(Energi!$Q:$Q,Energi!$M:$M,$M20,Energi!$K:$K,T$12,Energi!$X:$X,$N$1)</f>
        <v>0</v>
      </c>
      <c r="U20" s="18">
        <f ca="1">SUMIFS(Energi!$Q:$Q,Energi!$M:$M,$M20,Energi!$K:$K,U$12,Energi!$X:$X,$N$1)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SUMIFS(Energi!$Q:$Q,Energi!$M:$M,$B21,Energi!$K:$K,C$12)</f>
        <v>0</v>
      </c>
      <c r="D21" s="17">
        <f ca="1">SUMIFS(Energi!$Q:$Q,Energi!$M:$M,$B21,Energi!$K:$K,D$12)</f>
        <v>0</v>
      </c>
      <c r="E21" s="17">
        <f ca="1">SUMIFS(Energi!$Q:$Q,Energi!$M:$M,$B21,Energi!$K:$K,E$12)</f>
        <v>0</v>
      </c>
      <c r="F21" s="17">
        <f ca="1">SUMIFS(Energi!$Q:$Q,Energi!$M:$M,$B21,Energi!$K:$K,F$12)</f>
        <v>0</v>
      </c>
      <c r="G21" s="17">
        <f ca="1">SUMIFS(Energi!$Q:$Q,Energi!$M:$M,$B21,Energi!$K:$K,G$12)</f>
        <v>0</v>
      </c>
      <c r="H21" s="17">
        <f ca="1">SUMIFS(Energi!$Q:$Q,Energi!$M:$M,$B21,Energi!$K:$K,H$12)</f>
        <v>0</v>
      </c>
      <c r="I21" s="17">
        <f ca="1">SUMIFS(Energi!$Q:$Q,Energi!$M:$M,$B21,Energi!$K:$K,I$12)</f>
        <v>0</v>
      </c>
      <c r="J21" s="18">
        <f ca="1">SUMIFS(Energi!$Q:$Q,Energi!$M:$M,$B21)-SUM(C21:I21)</f>
        <v>0</v>
      </c>
      <c r="K21" s="15">
        <f t="shared" ca="1" si="6"/>
        <v>0</v>
      </c>
      <c r="M21" s="11" t="s">
        <v>42</v>
      </c>
      <c r="N21" s="16">
        <f ca="1">SUMIFS(Energi!$Q:$Q,Energi!$M:$M,$M21,Energi!$K:$K,N$12,Energi!$X:$X,$N$1)</f>
        <v>0</v>
      </c>
      <c r="O21" s="17">
        <f ca="1">SUMIFS(Energi!$Q:$Q,Energi!$M:$M,$M21,Energi!$K:$K,O$12,Energi!$X:$X,$N$1)</f>
        <v>0</v>
      </c>
      <c r="P21" s="17">
        <f ca="1">SUMIFS(Energi!$Q:$Q,Energi!$M:$M,$M21,Energi!$K:$K,P$12,Energi!$X:$X,$N$1)</f>
        <v>0</v>
      </c>
      <c r="Q21" s="17">
        <f ca="1">SUMIFS(Energi!$Q:$Q,Energi!$M:$M,$M21,Energi!$K:$K,Q$12,Energi!$X:$X,$N$1)</f>
        <v>0</v>
      </c>
      <c r="R21" s="17">
        <f ca="1">SUMIFS(Energi!$Q:$Q,Energi!$M:$M,$M21,Energi!$K:$K,R$12,Energi!$X:$X,$N$1)</f>
        <v>0</v>
      </c>
      <c r="S21" s="17">
        <f ca="1">SUMIFS(Energi!$Q:$Q,Energi!$M:$M,$M21,Energi!$K:$K,S$12,Energi!$X:$X,$N$1)</f>
        <v>0</v>
      </c>
      <c r="T21" s="17">
        <f ca="1">SUMIFS(Energi!$Q:$Q,Energi!$M:$M,$M21,Energi!$K:$K,T$12,Energi!$X:$X,$N$1)</f>
        <v>0</v>
      </c>
      <c r="U21" s="18">
        <f ca="1">SUMIFS(Energi!$Q:$Q,Energi!$M:$M,$M21,Energi!$K:$K,U$12,Energi!$X:$X,$N$1)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SUMIFS(Energi!$Q:$Q,Energi!$M:$M,$B22,Energi!$K:$K,C$12)</f>
        <v>0</v>
      </c>
      <c r="D22" s="17">
        <f ca="1">SUMIFS(Energi!$Q:$Q,Energi!$M:$M,$B22,Energi!$K:$K,D$12)</f>
        <v>0</v>
      </c>
      <c r="E22" s="17">
        <f ca="1">SUMIFS(Energi!$Q:$Q,Energi!$M:$M,$B22,Energi!$K:$K,E$12)</f>
        <v>0</v>
      </c>
      <c r="F22" s="17">
        <f ca="1">SUMIFS(Energi!$Q:$Q,Energi!$M:$M,$B22,Energi!$K:$K,F$12)</f>
        <v>0</v>
      </c>
      <c r="G22" s="17">
        <f ca="1">SUMIFS(Energi!$Q:$Q,Energi!$M:$M,$B22,Energi!$K:$K,G$12)</f>
        <v>0</v>
      </c>
      <c r="H22" s="17">
        <f ca="1">SUMIFS(Energi!$Q:$Q,Energi!$M:$M,$B22,Energi!$K:$K,H$12)</f>
        <v>0</v>
      </c>
      <c r="I22" s="17">
        <f ca="1">SUMIFS(Energi!$Q:$Q,Energi!$M:$M,$B22,Energi!$K:$K,I$12)</f>
        <v>0</v>
      </c>
      <c r="J22" s="18">
        <f ca="1">SUMIFS(Energi!$Q:$Q,Energi!$M:$M,$B22)-SUM(C22:I22)</f>
        <v>0</v>
      </c>
      <c r="K22" s="15">
        <f t="shared" ca="1" si="6"/>
        <v>0</v>
      </c>
      <c r="M22" s="11" t="s">
        <v>43</v>
      </c>
      <c r="N22" s="16">
        <f ca="1">SUMIFS(Energi!$Q:$Q,Energi!$M:$M,$M22,Energi!$K:$K,N$12,Energi!$X:$X,$N$1)</f>
        <v>0</v>
      </c>
      <c r="O22" s="17">
        <f ca="1">SUMIFS(Energi!$Q:$Q,Energi!$M:$M,$M22,Energi!$K:$K,O$12,Energi!$X:$X,$N$1)</f>
        <v>0</v>
      </c>
      <c r="P22" s="17">
        <f ca="1">SUMIFS(Energi!$Q:$Q,Energi!$M:$M,$M22,Energi!$K:$K,P$12,Energi!$X:$X,$N$1)</f>
        <v>0</v>
      </c>
      <c r="Q22" s="17">
        <f ca="1">SUMIFS(Energi!$Q:$Q,Energi!$M:$M,$M22,Energi!$K:$K,Q$12,Energi!$X:$X,$N$1)</f>
        <v>0</v>
      </c>
      <c r="R22" s="17">
        <f ca="1">SUMIFS(Energi!$Q:$Q,Energi!$M:$M,$M22,Energi!$K:$K,R$12,Energi!$X:$X,$N$1)</f>
        <v>0</v>
      </c>
      <c r="S22" s="17">
        <f ca="1">SUMIFS(Energi!$Q:$Q,Energi!$M:$M,$M22,Energi!$K:$K,S$12,Energi!$X:$X,$N$1)</f>
        <v>0</v>
      </c>
      <c r="T22" s="17">
        <f ca="1">SUMIFS(Energi!$Q:$Q,Energi!$M:$M,$M22,Energi!$K:$K,T$12,Energi!$X:$X,$N$1)</f>
        <v>0</v>
      </c>
      <c r="U22" s="18">
        <f ca="1">SUMIFS(Energi!$Q:$Q,Energi!$M:$M,$M22,Energi!$K:$K,U$12,Energi!$X:$X,$N$1)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SUMIFS(Energi!$Q:$Q,Energi!$M:$M,$B23,Energi!$K:$K,C$12)</f>
        <v>0</v>
      </c>
      <c r="D23" s="17">
        <f ca="1">SUMIFS(Energi!$Q:$Q,Energi!$M:$M,$B23,Energi!$K:$K,D$12)</f>
        <v>0</v>
      </c>
      <c r="E23" s="17">
        <f ca="1">SUMIFS(Energi!$Q:$Q,Energi!$M:$M,$B23,Energi!$K:$K,E$12)</f>
        <v>0</v>
      </c>
      <c r="F23" s="17">
        <f ca="1">SUMIFS(Energi!$Q:$Q,Energi!$M:$M,$B23,Energi!$K:$K,F$12)</f>
        <v>0</v>
      </c>
      <c r="G23" s="17">
        <f ca="1">SUMIFS(Energi!$Q:$Q,Energi!$M:$M,$B23,Energi!$K:$K,G$12)</f>
        <v>0</v>
      </c>
      <c r="H23" s="17">
        <f ca="1">SUMIFS(Energi!$Q:$Q,Energi!$M:$M,$B23,Energi!$K:$K,H$12)</f>
        <v>0</v>
      </c>
      <c r="I23" s="17">
        <f ca="1">SUMIFS(Energi!$Q:$Q,Energi!$M:$M,$B23,Energi!$K:$K,I$12)</f>
        <v>0</v>
      </c>
      <c r="J23" s="18">
        <f ca="1">SUMIFS(Energi!$Q:$Q,Energi!$M:$M,$B23)-SUM(C23:I23)</f>
        <v>0</v>
      </c>
      <c r="K23" s="15">
        <f t="shared" ca="1" si="6"/>
        <v>0</v>
      </c>
      <c r="M23" s="11" t="s">
        <v>44</v>
      </c>
      <c r="N23" s="16">
        <f ca="1">SUMIFS(Energi!$Q:$Q,Energi!$M:$M,$M23,Energi!$K:$K,N$12,Energi!$X:$X,$N$1)</f>
        <v>0</v>
      </c>
      <c r="O23" s="17">
        <f ca="1">SUMIFS(Energi!$Q:$Q,Energi!$M:$M,$M23,Energi!$K:$K,O$12,Energi!$X:$X,$N$1)</f>
        <v>0</v>
      </c>
      <c r="P23" s="17">
        <f ca="1">SUMIFS(Energi!$Q:$Q,Energi!$M:$M,$M23,Energi!$K:$K,P$12,Energi!$X:$X,$N$1)</f>
        <v>0</v>
      </c>
      <c r="Q23" s="17">
        <f ca="1">SUMIFS(Energi!$Q:$Q,Energi!$M:$M,$M23,Energi!$K:$K,Q$12,Energi!$X:$X,$N$1)</f>
        <v>0</v>
      </c>
      <c r="R23" s="17">
        <f ca="1">SUMIFS(Energi!$Q:$Q,Energi!$M:$M,$M23,Energi!$K:$K,R$12,Energi!$X:$X,$N$1)</f>
        <v>0</v>
      </c>
      <c r="S23" s="17">
        <f ca="1">SUMIFS(Energi!$Q:$Q,Energi!$M:$M,$M23,Energi!$K:$K,S$12,Energi!$X:$X,$N$1)</f>
        <v>0</v>
      </c>
      <c r="T23" s="17">
        <f ca="1">SUMIFS(Energi!$Q:$Q,Energi!$M:$M,$M23,Energi!$K:$K,T$12,Energi!$X:$X,$N$1)</f>
        <v>0</v>
      </c>
      <c r="U23" s="18">
        <f ca="1">SUMIFS(Energi!$Q:$Q,Energi!$M:$M,$M23,Energi!$K:$K,U$12,Energi!$X:$X,$N$1)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SUMIFS(Energi!$Q:$Q,Energi!$M:$M,$B24,Energi!$K:$K,C$12)</f>
        <v>0</v>
      </c>
      <c r="D24" s="17">
        <f ca="1">SUMIFS(Energi!$Q:$Q,Energi!$M:$M,$B24,Energi!$K:$K,D$12)</f>
        <v>0</v>
      </c>
      <c r="E24" s="17">
        <f ca="1">SUMIFS(Energi!$Q:$Q,Energi!$M:$M,$B24,Energi!$K:$K,E$12)</f>
        <v>0</v>
      </c>
      <c r="F24" s="17">
        <f ca="1">SUMIFS(Energi!$Q:$Q,Energi!$M:$M,$B24,Energi!$K:$K,F$12)</f>
        <v>0</v>
      </c>
      <c r="G24" s="17">
        <f ca="1">SUMIFS(Energi!$Q:$Q,Energi!$M:$M,$B24,Energi!$K:$K,G$12)</f>
        <v>0</v>
      </c>
      <c r="H24" s="17">
        <f ca="1">SUMIFS(Energi!$Q:$Q,Energi!$M:$M,$B24,Energi!$K:$K,H$12)</f>
        <v>0</v>
      </c>
      <c r="I24" s="17">
        <f ca="1">SUMIFS(Energi!$Q:$Q,Energi!$M:$M,$B24,Energi!$K:$K,I$12)</f>
        <v>0</v>
      </c>
      <c r="J24" s="18">
        <f ca="1">SUMIFS(Energi!$Q:$Q,Energi!$M:$M,$B24)-SUM(C24:I24)</f>
        <v>0</v>
      </c>
      <c r="K24" s="15">
        <f t="shared" ca="1" si="6"/>
        <v>0</v>
      </c>
      <c r="M24" s="11" t="s">
        <v>45</v>
      </c>
      <c r="N24" s="16">
        <f ca="1">SUMIFS(Energi!$Q:$Q,Energi!$M:$M,$M24,Energi!$K:$K,N$12,Energi!$X:$X,$N$1)</f>
        <v>0</v>
      </c>
      <c r="O24" s="17">
        <f ca="1">SUMIFS(Energi!$Q:$Q,Energi!$M:$M,$M24,Energi!$K:$K,O$12,Energi!$X:$X,$N$1)</f>
        <v>0</v>
      </c>
      <c r="P24" s="17">
        <f ca="1">SUMIFS(Energi!$Q:$Q,Energi!$M:$M,$M24,Energi!$K:$K,P$12,Energi!$X:$X,$N$1)</f>
        <v>0</v>
      </c>
      <c r="Q24" s="17">
        <f ca="1">SUMIFS(Energi!$Q:$Q,Energi!$M:$M,$M24,Energi!$K:$K,Q$12,Energi!$X:$X,$N$1)</f>
        <v>0</v>
      </c>
      <c r="R24" s="17">
        <f ca="1">SUMIFS(Energi!$Q:$Q,Energi!$M:$M,$M24,Energi!$K:$K,R$12,Energi!$X:$X,$N$1)</f>
        <v>0</v>
      </c>
      <c r="S24" s="17">
        <f ca="1">SUMIFS(Energi!$Q:$Q,Energi!$M:$M,$M24,Energi!$K:$K,S$12,Energi!$X:$X,$N$1)</f>
        <v>0</v>
      </c>
      <c r="T24" s="17">
        <f ca="1">SUMIFS(Energi!$Q:$Q,Energi!$M:$M,$M24,Energi!$K:$K,T$12,Energi!$X:$X,$N$1)</f>
        <v>0</v>
      </c>
      <c r="U24" s="18">
        <f ca="1">SUMIFS(Energi!$Q:$Q,Energi!$M:$M,$M24,Energi!$K:$K,U$12,Energi!$X:$X,$N$1)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SUMIFS(Energi!$Q:$Q,Energi!$M:$M,$B25,Energi!$K:$K,C$12)</f>
        <v>0</v>
      </c>
      <c r="D25" s="17">
        <f ca="1">SUMIFS(Energi!$Q:$Q,Energi!$M:$M,$B25,Energi!$K:$K,D$12)</f>
        <v>0</v>
      </c>
      <c r="E25" s="17">
        <f ca="1">SUMIFS(Energi!$Q:$Q,Energi!$M:$M,$B25,Energi!$K:$K,E$12)</f>
        <v>0</v>
      </c>
      <c r="F25" s="17">
        <f ca="1">SUMIFS(Energi!$Q:$Q,Energi!$M:$M,$B25,Energi!$K:$K,F$12)</f>
        <v>0</v>
      </c>
      <c r="G25" s="17">
        <f ca="1">SUMIFS(Energi!$Q:$Q,Energi!$M:$M,$B25,Energi!$K:$K,G$12)</f>
        <v>0</v>
      </c>
      <c r="H25" s="17">
        <f ca="1">SUMIFS(Energi!$Q:$Q,Energi!$M:$M,$B25,Energi!$K:$K,H$12)</f>
        <v>0</v>
      </c>
      <c r="I25" s="17">
        <f ca="1">SUMIFS(Energi!$Q:$Q,Energi!$M:$M,$B25,Energi!$K:$K,I$12)</f>
        <v>0</v>
      </c>
      <c r="J25" s="18">
        <f ca="1">SUMIFS(Energi!$Q:$Q,Energi!$M:$M,$B25)-SUM(C25:I25)</f>
        <v>0</v>
      </c>
      <c r="K25" s="15">
        <f t="shared" ca="1" si="6"/>
        <v>0</v>
      </c>
      <c r="M25" s="11" t="s">
        <v>103</v>
      </c>
      <c r="N25" s="16">
        <f ca="1">SUMIFS(Energi!$Q:$Q,Energi!$M:$M,$M25,Energi!$K:$K,N$12,Energi!$X:$X,$N$1)</f>
        <v>0</v>
      </c>
      <c r="O25" s="17">
        <f ca="1">SUMIFS(Energi!$Q:$Q,Energi!$M:$M,$M25,Energi!$K:$K,O$12,Energi!$X:$X,$N$1)</f>
        <v>0</v>
      </c>
      <c r="P25" s="17">
        <f ca="1">SUMIFS(Energi!$Q:$Q,Energi!$M:$M,$M25,Energi!$K:$K,P$12,Energi!$X:$X,$N$1)</f>
        <v>0</v>
      </c>
      <c r="Q25" s="17">
        <f ca="1">SUMIFS(Energi!$Q:$Q,Energi!$M:$M,$M25,Energi!$K:$K,Q$12,Energi!$X:$X,$N$1)</f>
        <v>0</v>
      </c>
      <c r="R25" s="17">
        <f ca="1">SUMIFS(Energi!$Q:$Q,Energi!$M:$M,$M25,Energi!$K:$K,R$12,Energi!$X:$X,$N$1)</f>
        <v>0</v>
      </c>
      <c r="S25" s="17">
        <f ca="1">SUMIFS(Energi!$Q:$Q,Energi!$M:$M,$M25,Energi!$K:$K,S$12,Energi!$X:$X,$N$1)</f>
        <v>0</v>
      </c>
      <c r="T25" s="17">
        <f ca="1">SUMIFS(Energi!$Q:$Q,Energi!$M:$M,$M25,Energi!$K:$K,T$12,Energi!$X:$X,$N$1)</f>
        <v>0</v>
      </c>
      <c r="U25" s="18">
        <f ca="1">SUMIFS(Energi!$Q:$Q,Energi!$M:$M,$M25,Energi!$K:$K,U$12,Energi!$X:$X,$N$1)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SUMIFS(Energi!$Q:$Q,Energi!$M:$M,$B26,Energi!$K:$K,C$12)</f>
        <v>0</v>
      </c>
      <c r="D26" s="17">
        <f ca="1">SUMIFS(Energi!$Q:$Q,Energi!$M:$M,$B26,Energi!$K:$K,D$12)</f>
        <v>0</v>
      </c>
      <c r="E26" s="17">
        <f ca="1">SUMIFS(Energi!$Q:$Q,Energi!$M:$M,$B26,Energi!$K:$K,E$12)</f>
        <v>0</v>
      </c>
      <c r="F26" s="17">
        <f ca="1">SUMIFS(Energi!$Q:$Q,Energi!$M:$M,$B26,Energi!$K:$K,F$12)</f>
        <v>0</v>
      </c>
      <c r="G26" s="17">
        <f ca="1">SUMIFS(Energi!$Q:$Q,Energi!$M:$M,$B26,Energi!$K:$K,G$12)</f>
        <v>0</v>
      </c>
      <c r="H26" s="17">
        <f ca="1">SUMIFS(Energi!$Q:$Q,Energi!$M:$M,$B26,Energi!$K:$K,H$12)</f>
        <v>0</v>
      </c>
      <c r="I26" s="17">
        <f ca="1">SUMIFS(Energi!$Q:$Q,Energi!$M:$M,$B26,Energi!$K:$K,I$12)</f>
        <v>0</v>
      </c>
      <c r="J26" s="18">
        <f ca="1">SUMIFS(Energi!$Q:$Q,Energi!$M:$M,$B26)-SUM(C26:I26)</f>
        <v>0</v>
      </c>
      <c r="K26" s="15">
        <f t="shared" ca="1" si="6"/>
        <v>0</v>
      </c>
      <c r="M26" s="11" t="s">
        <v>111</v>
      </c>
      <c r="N26" s="16">
        <f ca="1">SUMIFS(Energi!$Q:$Q,Energi!$M:$M,$M26,Energi!$K:$K,N$12,Energi!$X:$X,$N$1)</f>
        <v>0</v>
      </c>
      <c r="O26" s="17">
        <f ca="1">SUMIFS(Energi!$Q:$Q,Energi!$M:$M,$M26,Energi!$K:$K,O$12,Energi!$X:$X,$N$1)</f>
        <v>0</v>
      </c>
      <c r="P26" s="17">
        <f ca="1">SUMIFS(Energi!$Q:$Q,Energi!$M:$M,$M26,Energi!$K:$K,P$12,Energi!$X:$X,$N$1)</f>
        <v>0</v>
      </c>
      <c r="Q26" s="17">
        <f ca="1">SUMIFS(Energi!$Q:$Q,Energi!$M:$M,$M26,Energi!$K:$K,Q$12,Energi!$X:$X,$N$1)</f>
        <v>0</v>
      </c>
      <c r="R26" s="17">
        <f ca="1">SUMIFS(Energi!$Q:$Q,Energi!$M:$M,$M26,Energi!$K:$K,R$12,Energi!$X:$X,$N$1)</f>
        <v>0</v>
      </c>
      <c r="S26" s="17">
        <f ca="1">SUMIFS(Energi!$Q:$Q,Energi!$M:$M,$M26,Energi!$K:$K,S$12,Energi!$X:$X,$N$1)</f>
        <v>0</v>
      </c>
      <c r="T26" s="17">
        <f ca="1">SUMIFS(Energi!$Q:$Q,Energi!$M:$M,$M26,Energi!$K:$K,T$12,Energi!$X:$X,$N$1)</f>
        <v>0</v>
      </c>
      <c r="U26" s="18">
        <f ca="1">SUMIFS(Energi!$Q:$Q,Energi!$M:$M,$M26,Energi!$K:$K,U$12,Energi!$X:$X,$N$1)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SUMIFS(Energi!$Q:$Q,Energi!$M:$M,$B27,Energi!$K:$K,C$12)</f>
        <v>0</v>
      </c>
      <c r="D27" s="17">
        <f ca="1">SUMIFS(Energi!$Q:$Q,Energi!$M:$M,$B27,Energi!$K:$K,D$12)</f>
        <v>0</v>
      </c>
      <c r="E27" s="17">
        <f ca="1">SUMIFS(Energi!$Q:$Q,Energi!$M:$M,$B27,Energi!$K:$K,E$12)</f>
        <v>0</v>
      </c>
      <c r="F27" s="17">
        <f ca="1">SUMIFS(Energi!$Q:$Q,Energi!$M:$M,$B27,Energi!$K:$K,F$12)</f>
        <v>0</v>
      </c>
      <c r="G27" s="17">
        <f ca="1">SUMIFS(Energi!$Q:$Q,Energi!$M:$M,$B27,Energi!$K:$K,G$12)</f>
        <v>0</v>
      </c>
      <c r="H27" s="17">
        <f ca="1">SUMIFS(Energi!$Q:$Q,Energi!$M:$M,$B27,Energi!$K:$K,H$12)</f>
        <v>0</v>
      </c>
      <c r="I27" s="17">
        <f ca="1">SUMIFS(Energi!$Q:$Q,Energi!$M:$M,$B27,Energi!$K:$K,I$12)</f>
        <v>0</v>
      </c>
      <c r="J27" s="18">
        <f ca="1">SUMIFS(Energi!$Q:$Q,Energi!$M:$M,$B27)-SUM(C27:I27)</f>
        <v>0</v>
      </c>
      <c r="K27" s="15">
        <f t="shared" ca="1" si="6"/>
        <v>0</v>
      </c>
      <c r="M27" s="11" t="s">
        <v>118</v>
      </c>
      <c r="N27" s="16">
        <f ca="1">SUMIFS(Energi!$Q:$Q,Energi!$M:$M,$M27,Energi!$K:$K,N$12,Energi!$X:$X,$N$1)</f>
        <v>0</v>
      </c>
      <c r="O27" s="17">
        <f ca="1">SUMIFS(Energi!$Q:$Q,Energi!$M:$M,$M27,Energi!$K:$K,O$12,Energi!$X:$X,$N$1)</f>
        <v>0</v>
      </c>
      <c r="P27" s="17">
        <f ca="1">SUMIFS(Energi!$Q:$Q,Energi!$M:$M,$M27,Energi!$K:$K,P$12,Energi!$X:$X,$N$1)</f>
        <v>0</v>
      </c>
      <c r="Q27" s="17">
        <f ca="1">SUMIFS(Energi!$Q:$Q,Energi!$M:$M,$M27,Energi!$K:$K,Q$12,Energi!$X:$X,$N$1)</f>
        <v>0</v>
      </c>
      <c r="R27" s="17">
        <f ca="1">SUMIFS(Energi!$Q:$Q,Energi!$M:$M,$M27,Energi!$K:$K,R$12,Energi!$X:$X,$N$1)</f>
        <v>0</v>
      </c>
      <c r="S27" s="17">
        <f ca="1">SUMIFS(Energi!$Q:$Q,Energi!$M:$M,$M27,Energi!$K:$K,S$12,Energi!$X:$X,$N$1)</f>
        <v>0</v>
      </c>
      <c r="T27" s="17">
        <f ca="1">SUMIFS(Energi!$Q:$Q,Energi!$M:$M,$M27,Energi!$K:$K,T$12,Energi!$X:$X,$N$1)</f>
        <v>0</v>
      </c>
      <c r="U27" s="18">
        <f ca="1">SUMIFS(Energi!$Q:$Q,Energi!$M:$M,$M27,Energi!$K:$K,U$12,Energi!$X:$X,$N$1)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SUMIFS(Energi!$Q:$Q,Energi!$M:$M,$B28,Energi!$K:$K,C$12)</f>
        <v>0</v>
      </c>
      <c r="D28" s="17">
        <f ca="1">SUMIFS(Energi!$Q:$Q,Energi!$M:$M,$B28,Energi!$K:$K,D$12)</f>
        <v>0</v>
      </c>
      <c r="E28" s="17">
        <f ca="1">SUMIFS(Energi!$Q:$Q,Energi!$M:$M,$B28,Energi!$K:$K,E$12)</f>
        <v>0</v>
      </c>
      <c r="F28" s="17">
        <f ca="1">SUMIFS(Energi!$Q:$Q,Energi!$M:$M,$B28,Energi!$K:$K,F$12)</f>
        <v>0</v>
      </c>
      <c r="G28" s="17">
        <f ca="1">SUMIFS(Energi!$Q:$Q,Energi!$M:$M,$B28,Energi!$K:$K,G$12)</f>
        <v>0</v>
      </c>
      <c r="H28" s="17">
        <f ca="1">SUMIFS(Energi!$Q:$Q,Energi!$M:$M,$B28,Energi!$K:$K,H$12)</f>
        <v>0</v>
      </c>
      <c r="I28" s="17">
        <f ca="1">SUMIFS(Energi!$Q:$Q,Energi!$M:$M,$B28,Energi!$K:$K,I$12)</f>
        <v>0</v>
      </c>
      <c r="J28" s="18">
        <f ca="1">SUMIFS(Energi!$Q:$Q,Energi!$M:$M,$B28)-SUM(C28:I28)</f>
        <v>0</v>
      </c>
      <c r="K28" s="15">
        <f t="shared" ca="1" si="6"/>
        <v>0</v>
      </c>
      <c r="M28" s="11" t="s">
        <v>120</v>
      </c>
      <c r="N28" s="16">
        <f ca="1">SUMIFS(Energi!$Q:$Q,Energi!$M:$M,$M28,Energi!$K:$K,N$12,Energi!$X:$X,$N$1)</f>
        <v>0</v>
      </c>
      <c r="O28" s="17">
        <f ca="1">SUMIFS(Energi!$Q:$Q,Energi!$M:$M,$M28,Energi!$K:$K,O$12,Energi!$X:$X,$N$1)</f>
        <v>0</v>
      </c>
      <c r="P28" s="17">
        <f ca="1">SUMIFS(Energi!$Q:$Q,Energi!$M:$M,$M28,Energi!$K:$K,P$12,Energi!$X:$X,$N$1)</f>
        <v>0</v>
      </c>
      <c r="Q28" s="17">
        <f ca="1">SUMIFS(Energi!$Q:$Q,Energi!$M:$M,$M28,Energi!$K:$K,Q$12,Energi!$X:$X,$N$1)</f>
        <v>0</v>
      </c>
      <c r="R28" s="17">
        <f ca="1">SUMIFS(Energi!$Q:$Q,Energi!$M:$M,$M28,Energi!$K:$K,R$12,Energi!$X:$X,$N$1)</f>
        <v>0</v>
      </c>
      <c r="S28" s="17">
        <f ca="1">SUMIFS(Energi!$Q:$Q,Energi!$M:$M,$M28,Energi!$K:$K,S$12,Energi!$X:$X,$N$1)</f>
        <v>0</v>
      </c>
      <c r="T28" s="17">
        <f ca="1">SUMIFS(Energi!$Q:$Q,Energi!$M:$M,$M28,Energi!$K:$K,T$12,Energi!$X:$X,$N$1)</f>
        <v>0</v>
      </c>
      <c r="U28" s="18">
        <f ca="1">SUMIFS(Energi!$Q:$Q,Energi!$M:$M,$M28,Energi!$K:$K,U$12,Energi!$X:$X,$N$1)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SUMIFS(Energi!$Q:$Q,Energi!$M:$M,$B29,Energi!$K:$K,C$12)</f>
        <v>0</v>
      </c>
      <c r="D29" s="17">
        <f ca="1">SUMIFS(Energi!$Q:$Q,Energi!$M:$M,$B29,Energi!$K:$K,D$12)</f>
        <v>0</v>
      </c>
      <c r="E29" s="17">
        <f ca="1">SUMIFS(Energi!$Q:$Q,Energi!$M:$M,$B29,Energi!$K:$K,E$12)</f>
        <v>0</v>
      </c>
      <c r="F29" s="17">
        <f ca="1">SUMIFS(Energi!$Q:$Q,Energi!$M:$M,$B29,Energi!$K:$K,F$12)</f>
        <v>0</v>
      </c>
      <c r="G29" s="17">
        <f ca="1">SUMIFS(Energi!$Q:$Q,Energi!$M:$M,$B29,Energi!$K:$K,G$12)</f>
        <v>0</v>
      </c>
      <c r="H29" s="17">
        <f ca="1">SUMIFS(Energi!$Q:$Q,Energi!$M:$M,$B29,Energi!$K:$K,H$12)</f>
        <v>0</v>
      </c>
      <c r="I29" s="17">
        <f ca="1">SUMIFS(Energi!$Q:$Q,Energi!$M:$M,$B29,Energi!$K:$K,I$12)</f>
        <v>0</v>
      </c>
      <c r="J29" s="18">
        <f ca="1">SUMIFS(Energi!$Q:$Q,Energi!$M:$M,$B29)-SUM(C29:I29)</f>
        <v>0</v>
      </c>
      <c r="K29" s="15">
        <f t="shared" ca="1" si="6"/>
        <v>0</v>
      </c>
      <c r="M29" s="11" t="s">
        <v>129</v>
      </c>
      <c r="N29" s="16">
        <f ca="1">SUMIFS(Energi!$Q:$Q,Energi!$M:$M,$M29,Energi!$K:$K,N$12,Energi!$X:$X,$N$1)</f>
        <v>0</v>
      </c>
      <c r="O29" s="17">
        <f ca="1">SUMIFS(Energi!$Q:$Q,Energi!$M:$M,$M29,Energi!$K:$K,O$12,Energi!$X:$X,$N$1)</f>
        <v>0</v>
      </c>
      <c r="P29" s="17">
        <f ca="1">SUMIFS(Energi!$Q:$Q,Energi!$M:$M,$M29,Energi!$K:$K,P$12,Energi!$X:$X,$N$1)</f>
        <v>0</v>
      </c>
      <c r="Q29" s="17">
        <f ca="1">SUMIFS(Energi!$Q:$Q,Energi!$M:$M,$M29,Energi!$K:$K,Q$12,Energi!$X:$X,$N$1)</f>
        <v>0</v>
      </c>
      <c r="R29" s="17">
        <f ca="1">SUMIFS(Energi!$Q:$Q,Energi!$M:$M,$M29,Energi!$K:$K,R$12,Energi!$X:$X,$N$1)</f>
        <v>0</v>
      </c>
      <c r="S29" s="17">
        <f ca="1">SUMIFS(Energi!$Q:$Q,Energi!$M:$M,$M29,Energi!$K:$K,S$12,Energi!$X:$X,$N$1)</f>
        <v>0</v>
      </c>
      <c r="T29" s="17">
        <f ca="1">SUMIFS(Energi!$Q:$Q,Energi!$M:$M,$M29,Energi!$K:$K,T$12,Energi!$X:$X,$N$1)</f>
        <v>0</v>
      </c>
      <c r="U29" s="18">
        <f ca="1">SUMIFS(Energi!$Q:$Q,Energi!$M:$M,$M29,Energi!$K:$K,U$12,Energi!$X:$X,$N$1)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SUMIFS(Energi!$Q:$Q,Energi!$M:$M,$B30,Energi!$K:$K,C$12)</f>
        <v>0</v>
      </c>
      <c r="D30" s="17">
        <f ca="1">SUMIFS(Energi!$Q:$Q,Energi!$M:$M,$B30,Energi!$K:$K,D$12)</f>
        <v>0</v>
      </c>
      <c r="E30" s="17">
        <f ca="1">SUMIFS(Energi!$Q:$Q,Energi!$M:$M,$B30,Energi!$K:$K,E$12)</f>
        <v>0</v>
      </c>
      <c r="F30" s="17">
        <f ca="1">SUMIFS(Energi!$Q:$Q,Energi!$M:$M,$B30,Energi!$K:$K,F$12)</f>
        <v>0</v>
      </c>
      <c r="G30" s="17">
        <f ca="1">SUMIFS(Energi!$Q:$Q,Energi!$M:$M,$B30,Energi!$K:$K,G$12)</f>
        <v>0</v>
      </c>
      <c r="H30" s="17">
        <f ca="1">SUMIFS(Energi!$Q:$Q,Energi!$M:$M,$B30,Energi!$K:$K,H$12)</f>
        <v>0</v>
      </c>
      <c r="I30" s="17">
        <f ca="1">SUMIFS(Energi!$Q:$Q,Energi!$M:$M,$B30,Energi!$K:$K,I$12)</f>
        <v>0</v>
      </c>
      <c r="J30" s="18">
        <f ca="1">SUMIFS(Energi!$Q:$Q,Energi!$M:$M,$B30)-SUM(C30:I30)</f>
        <v>0</v>
      </c>
      <c r="K30" s="15">
        <f t="shared" ca="1" si="6"/>
        <v>0</v>
      </c>
      <c r="M30" s="11" t="s">
        <v>134</v>
      </c>
      <c r="N30" s="16">
        <f ca="1">SUMIFS(Energi!$Q:$Q,Energi!$M:$M,$M30,Energi!$K:$K,N$12,Energi!$X:$X,$N$1)</f>
        <v>0</v>
      </c>
      <c r="O30" s="17">
        <f ca="1">SUMIFS(Energi!$Q:$Q,Energi!$M:$M,$M30,Energi!$K:$K,O$12,Energi!$X:$X,$N$1)</f>
        <v>0</v>
      </c>
      <c r="P30" s="17">
        <f ca="1">SUMIFS(Energi!$Q:$Q,Energi!$M:$M,$M30,Energi!$K:$K,P$12,Energi!$X:$X,$N$1)</f>
        <v>0</v>
      </c>
      <c r="Q30" s="17">
        <f ca="1">SUMIFS(Energi!$Q:$Q,Energi!$M:$M,$M30,Energi!$K:$K,Q$12,Energi!$X:$X,$N$1)</f>
        <v>0</v>
      </c>
      <c r="R30" s="17">
        <f ca="1">SUMIFS(Energi!$Q:$Q,Energi!$M:$M,$M30,Energi!$K:$K,R$12,Energi!$X:$X,$N$1)</f>
        <v>0</v>
      </c>
      <c r="S30" s="17">
        <f ca="1">SUMIFS(Energi!$Q:$Q,Energi!$M:$M,$M30,Energi!$K:$K,S$12,Energi!$X:$X,$N$1)</f>
        <v>0</v>
      </c>
      <c r="T30" s="17">
        <f ca="1">SUMIFS(Energi!$Q:$Q,Energi!$M:$M,$M30,Energi!$K:$K,T$12,Energi!$X:$X,$N$1)</f>
        <v>0</v>
      </c>
      <c r="U30" s="18">
        <f ca="1">SUMIFS(Energi!$Q:$Q,Energi!$M:$M,$M30,Energi!$K:$K,U$12,Energi!$X:$X,$N$1)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SUMIFS(Energi!$Q:$Q,Energi!$M:$M,$B31,Energi!$K:$K,C$12)</f>
        <v>0</v>
      </c>
      <c r="D31" s="17">
        <f ca="1">SUMIFS(Energi!$Q:$Q,Energi!$M:$M,$B31,Energi!$K:$K,D$12)</f>
        <v>0</v>
      </c>
      <c r="E31" s="17">
        <f ca="1">SUMIFS(Energi!$Q:$Q,Energi!$M:$M,$B31,Energi!$K:$K,E$12)</f>
        <v>0</v>
      </c>
      <c r="F31" s="17">
        <f ca="1">SUMIFS(Energi!$Q:$Q,Energi!$M:$M,$B31,Energi!$K:$K,F$12)</f>
        <v>0</v>
      </c>
      <c r="G31" s="17">
        <f ca="1">SUMIFS(Energi!$Q:$Q,Energi!$M:$M,$B31,Energi!$K:$K,G$12)</f>
        <v>0</v>
      </c>
      <c r="H31" s="17">
        <f ca="1">SUMIFS(Energi!$Q:$Q,Energi!$M:$M,$B31,Energi!$K:$K,H$12)</f>
        <v>0</v>
      </c>
      <c r="I31" s="17">
        <f ca="1">SUMIFS(Energi!$Q:$Q,Energi!$M:$M,$B31,Energi!$K:$K,I$12)</f>
        <v>0</v>
      </c>
      <c r="J31" s="18">
        <f ca="1">SUMIFS(Energi!$Q:$Q,Energi!$M:$M,$B31)-SUM(C31:I31)</f>
        <v>0</v>
      </c>
      <c r="K31" s="15">
        <f t="shared" ca="1" si="6"/>
        <v>0</v>
      </c>
      <c r="M31" s="11" t="s">
        <v>139</v>
      </c>
      <c r="N31" s="16">
        <f ca="1">SUMIFS(Energi!$Q:$Q,Energi!$M:$M,$M31,Energi!$K:$K,N$12,Energi!$X:$X,$N$1)</f>
        <v>0</v>
      </c>
      <c r="O31" s="17">
        <f ca="1">SUMIFS(Energi!$Q:$Q,Energi!$M:$M,$M31,Energi!$K:$K,O$12,Energi!$X:$X,$N$1)</f>
        <v>0</v>
      </c>
      <c r="P31" s="17">
        <f ca="1">SUMIFS(Energi!$Q:$Q,Energi!$M:$M,$M31,Energi!$K:$K,P$12,Energi!$X:$X,$N$1)</f>
        <v>0</v>
      </c>
      <c r="Q31" s="17">
        <f ca="1">SUMIFS(Energi!$Q:$Q,Energi!$M:$M,$M31,Energi!$K:$K,Q$12,Energi!$X:$X,$N$1)</f>
        <v>0</v>
      </c>
      <c r="R31" s="17">
        <f ca="1">SUMIFS(Energi!$Q:$Q,Energi!$M:$M,$M31,Energi!$K:$K,R$12,Energi!$X:$X,$N$1)</f>
        <v>0</v>
      </c>
      <c r="S31" s="17">
        <f ca="1">SUMIFS(Energi!$Q:$Q,Energi!$M:$M,$M31,Energi!$K:$K,S$12,Energi!$X:$X,$N$1)</f>
        <v>0</v>
      </c>
      <c r="T31" s="17">
        <f ca="1">SUMIFS(Energi!$Q:$Q,Energi!$M:$M,$M31,Energi!$K:$K,T$12,Energi!$X:$X,$N$1)</f>
        <v>0</v>
      </c>
      <c r="U31" s="18">
        <f ca="1">SUMIFS(Energi!$Q:$Q,Energi!$M:$M,$M31,Energi!$K:$K,U$12,Energi!$X:$X,$N$1)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SUMIFS(Energi!$Q:$Q,Energi!$M:$M,$B32,Energi!$K:$K,C$12)</f>
        <v>0</v>
      </c>
      <c r="D32" s="17">
        <f ca="1">SUMIFS(Energi!$Q:$Q,Energi!$M:$M,$B32,Energi!$K:$K,D$12)</f>
        <v>0</v>
      </c>
      <c r="E32" s="17">
        <f ca="1">SUMIFS(Energi!$Q:$Q,Energi!$M:$M,$B32,Energi!$K:$K,E$12)</f>
        <v>0</v>
      </c>
      <c r="F32" s="17">
        <f ca="1">SUMIFS(Energi!$Q:$Q,Energi!$M:$M,$B32,Energi!$K:$K,F$12)</f>
        <v>0</v>
      </c>
      <c r="G32" s="17">
        <f ca="1">SUMIFS(Energi!$Q:$Q,Energi!$M:$M,$B32,Energi!$K:$K,G$12)</f>
        <v>0</v>
      </c>
      <c r="H32" s="17">
        <f ca="1">SUMIFS(Energi!$Q:$Q,Energi!$M:$M,$B32,Energi!$K:$K,H$12)</f>
        <v>0</v>
      </c>
      <c r="I32" s="17">
        <f ca="1">SUMIFS(Energi!$Q:$Q,Energi!$M:$M,$B32,Energi!$K:$K,I$12)</f>
        <v>0</v>
      </c>
      <c r="J32" s="18">
        <f ca="1">SUMIFS(Energi!$Q:$Q,Energi!$M:$M,$B32)-SUM(C32:I32)</f>
        <v>0</v>
      </c>
      <c r="K32" s="15">
        <f t="shared" ca="1" si="6"/>
        <v>0</v>
      </c>
      <c r="M32" s="11" t="s">
        <v>144</v>
      </c>
      <c r="N32" s="16">
        <f ca="1">SUMIFS(Energi!$Q:$Q,Energi!$M:$M,$M32,Energi!$K:$K,N$12,Energi!$X:$X,$N$1)</f>
        <v>0</v>
      </c>
      <c r="O32" s="17">
        <f ca="1">SUMIFS(Energi!$Q:$Q,Energi!$M:$M,$M32,Energi!$K:$K,O$12,Energi!$X:$X,$N$1)</f>
        <v>0</v>
      </c>
      <c r="P32" s="17">
        <f ca="1">SUMIFS(Energi!$Q:$Q,Energi!$M:$M,$M32,Energi!$K:$K,P$12,Energi!$X:$X,$N$1)</f>
        <v>0</v>
      </c>
      <c r="Q32" s="17">
        <f ca="1">SUMIFS(Energi!$Q:$Q,Energi!$M:$M,$M32,Energi!$K:$K,Q$12,Energi!$X:$X,$N$1)</f>
        <v>0</v>
      </c>
      <c r="R32" s="17">
        <f ca="1">SUMIFS(Energi!$Q:$Q,Energi!$M:$M,$M32,Energi!$K:$K,R$12,Energi!$X:$X,$N$1)</f>
        <v>0</v>
      </c>
      <c r="S32" s="17">
        <f ca="1">SUMIFS(Energi!$Q:$Q,Energi!$M:$M,$M32,Energi!$K:$K,S$12,Energi!$X:$X,$N$1)</f>
        <v>0</v>
      </c>
      <c r="T32" s="17">
        <f ca="1">SUMIFS(Energi!$Q:$Q,Energi!$M:$M,$M32,Energi!$K:$K,T$12,Energi!$X:$X,$N$1)</f>
        <v>0</v>
      </c>
      <c r="U32" s="18">
        <f ca="1">SUMIFS(Energi!$Q:$Q,Energi!$M:$M,$M32,Energi!$K:$K,U$12,Energi!$X:$X,$N$1)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SUMIFS(Energi!$Q:$Q,Energi!$M:$M,$B33,Energi!$K:$K,C$12)</f>
        <v>0</v>
      </c>
      <c r="D33" s="17">
        <f ca="1">SUMIFS(Energi!$Q:$Q,Energi!$M:$M,$B33,Energi!$K:$K,D$12)</f>
        <v>0</v>
      </c>
      <c r="E33" s="17">
        <f ca="1">SUMIFS(Energi!$Q:$Q,Energi!$M:$M,$B33,Energi!$K:$K,E$12)</f>
        <v>0</v>
      </c>
      <c r="F33" s="17">
        <f ca="1">SUMIFS(Energi!$Q:$Q,Energi!$M:$M,$B33,Energi!$K:$K,F$12)</f>
        <v>0</v>
      </c>
      <c r="G33" s="17">
        <f ca="1">SUMIFS(Energi!$Q:$Q,Energi!$M:$M,$B33,Energi!$K:$K,G$12)</f>
        <v>0</v>
      </c>
      <c r="H33" s="17">
        <f ca="1">SUMIFS(Energi!$Q:$Q,Energi!$M:$M,$B33,Energi!$K:$K,H$12)</f>
        <v>0</v>
      </c>
      <c r="I33" s="17">
        <f ca="1">SUMIFS(Energi!$Q:$Q,Energi!$M:$M,$B33,Energi!$K:$K,I$12)</f>
        <v>0</v>
      </c>
      <c r="J33" s="18">
        <f ca="1">SUMIFS(Energi!$Q:$Q,Energi!$M:$M,$B33)-SUM(C33:I33)</f>
        <v>0</v>
      </c>
      <c r="K33" s="15">
        <f t="shared" ca="1" si="6"/>
        <v>0</v>
      </c>
      <c r="M33" s="11" t="s">
        <v>145</v>
      </c>
      <c r="N33" s="16">
        <f ca="1">SUMIFS(Energi!$Q:$Q,Energi!$M:$M,$M33,Energi!$K:$K,N$12,Energi!$X:$X,$N$1)</f>
        <v>0</v>
      </c>
      <c r="O33" s="17">
        <f ca="1">SUMIFS(Energi!$Q:$Q,Energi!$M:$M,$M33,Energi!$K:$K,O$12,Energi!$X:$X,$N$1)</f>
        <v>0</v>
      </c>
      <c r="P33" s="17">
        <f ca="1">SUMIFS(Energi!$Q:$Q,Energi!$M:$M,$M33,Energi!$K:$K,P$12,Energi!$X:$X,$N$1)</f>
        <v>0</v>
      </c>
      <c r="Q33" s="17">
        <f ca="1">SUMIFS(Energi!$Q:$Q,Energi!$M:$M,$M33,Energi!$K:$K,Q$12,Energi!$X:$X,$N$1)</f>
        <v>0</v>
      </c>
      <c r="R33" s="17">
        <f ca="1">SUMIFS(Energi!$Q:$Q,Energi!$M:$M,$M33,Energi!$K:$K,R$12,Energi!$X:$X,$N$1)</f>
        <v>0</v>
      </c>
      <c r="S33" s="17">
        <f ca="1">SUMIFS(Energi!$Q:$Q,Energi!$M:$M,$M33,Energi!$K:$K,S$12,Energi!$X:$X,$N$1)</f>
        <v>0</v>
      </c>
      <c r="T33" s="17">
        <f ca="1">SUMIFS(Energi!$Q:$Q,Energi!$M:$M,$M33,Energi!$K:$K,T$12,Energi!$X:$X,$N$1)</f>
        <v>0</v>
      </c>
      <c r="U33" s="18">
        <f ca="1">SUMIFS(Energi!$Q:$Q,Energi!$M:$M,$M33,Energi!$K:$K,U$12,Energi!$X:$X,$N$1)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SUMIFS(Energi!$Q:$Q,Energi!$M:$M,$B34,Energi!$K:$K,C$12)</f>
        <v>0</v>
      </c>
      <c r="D34" s="17">
        <f ca="1">SUMIFS(Energi!$Q:$Q,Energi!$M:$M,$B34,Energi!$K:$K,D$12)</f>
        <v>0</v>
      </c>
      <c r="E34" s="17">
        <f ca="1">SUMIFS(Energi!$Q:$Q,Energi!$M:$M,$B34,Energi!$K:$K,E$12)</f>
        <v>0</v>
      </c>
      <c r="F34" s="17">
        <f ca="1">SUMIFS(Energi!$Q:$Q,Energi!$M:$M,$B34,Energi!$K:$K,F$12)</f>
        <v>0</v>
      </c>
      <c r="G34" s="17">
        <f ca="1">SUMIFS(Energi!$Q:$Q,Energi!$M:$M,$B34,Energi!$K:$K,G$12)</f>
        <v>0</v>
      </c>
      <c r="H34" s="17">
        <f ca="1">SUMIFS(Energi!$Q:$Q,Energi!$M:$M,$B34,Energi!$K:$K,H$12)</f>
        <v>0</v>
      </c>
      <c r="I34" s="17">
        <f ca="1">SUMIFS(Energi!$Q:$Q,Energi!$M:$M,$B34,Energi!$K:$K,I$12)</f>
        <v>0</v>
      </c>
      <c r="J34" s="18">
        <f ca="1">SUMIFS(Energi!$Q:$Q,Energi!$M:$M,$B34)-SUM(C34:I34)</f>
        <v>0</v>
      </c>
      <c r="K34" s="15">
        <f t="shared" ca="1" si="6"/>
        <v>0</v>
      </c>
      <c r="M34" s="11" t="s">
        <v>146</v>
      </c>
      <c r="N34" s="16">
        <f ca="1">SUMIFS(Energi!$Q:$Q,Energi!$M:$M,$M34,Energi!$K:$K,N$12,Energi!$X:$X,$N$1)</f>
        <v>0</v>
      </c>
      <c r="O34" s="17">
        <f ca="1">SUMIFS(Energi!$Q:$Q,Energi!$M:$M,$M34,Energi!$K:$K,O$12,Energi!$X:$X,$N$1)</f>
        <v>0</v>
      </c>
      <c r="P34" s="17">
        <f ca="1">SUMIFS(Energi!$Q:$Q,Energi!$M:$M,$M34,Energi!$K:$K,P$12,Energi!$X:$X,$N$1)</f>
        <v>0</v>
      </c>
      <c r="Q34" s="17">
        <f ca="1">SUMIFS(Energi!$Q:$Q,Energi!$M:$M,$M34,Energi!$K:$K,Q$12,Energi!$X:$X,$N$1)</f>
        <v>0</v>
      </c>
      <c r="R34" s="17">
        <f ca="1">SUMIFS(Energi!$Q:$Q,Energi!$M:$M,$M34,Energi!$K:$K,R$12,Energi!$X:$X,$N$1)</f>
        <v>0</v>
      </c>
      <c r="S34" s="17">
        <f ca="1">SUMIFS(Energi!$Q:$Q,Energi!$M:$M,$M34,Energi!$K:$K,S$12,Energi!$X:$X,$N$1)</f>
        <v>0</v>
      </c>
      <c r="T34" s="17">
        <f ca="1">SUMIFS(Energi!$Q:$Q,Energi!$M:$M,$M34,Energi!$K:$K,T$12,Energi!$X:$X,$N$1)</f>
        <v>0</v>
      </c>
      <c r="U34" s="18">
        <f ca="1">SUMIFS(Energi!$Q:$Q,Energi!$M:$M,$M34,Energi!$K:$K,U$12,Energi!$X:$X,$N$1)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SUMIFS(Energi!$Q:$Q,Energi!$M:$M,$B35,Energi!$K:$K,C$12)</f>
        <v>0</v>
      </c>
      <c r="D35" s="17">
        <f ca="1">SUMIFS(Energi!$Q:$Q,Energi!$M:$M,$B35,Energi!$K:$K,D$12)</f>
        <v>0</v>
      </c>
      <c r="E35" s="17">
        <f ca="1">SUMIFS(Energi!$Q:$Q,Energi!$M:$M,$B35,Energi!$K:$K,E$12)</f>
        <v>0</v>
      </c>
      <c r="F35" s="17">
        <f ca="1">SUMIFS(Energi!$Q:$Q,Energi!$M:$M,$B35,Energi!$K:$K,F$12)</f>
        <v>0</v>
      </c>
      <c r="G35" s="17">
        <f ca="1">SUMIFS(Energi!$Q:$Q,Energi!$M:$M,$B35,Energi!$K:$K,G$12)</f>
        <v>0</v>
      </c>
      <c r="H35" s="17">
        <f ca="1">SUMIFS(Energi!$Q:$Q,Energi!$M:$M,$B35,Energi!$K:$K,H$12)</f>
        <v>0</v>
      </c>
      <c r="I35" s="17">
        <f ca="1">SUMIFS(Energi!$Q:$Q,Energi!$M:$M,$B35,Energi!$K:$K,I$12)</f>
        <v>0</v>
      </c>
      <c r="J35" s="18">
        <f ca="1">SUMIFS(Energi!$Q:$Q,Energi!$M:$M,$B35)-SUM(C35:I35)</f>
        <v>0</v>
      </c>
      <c r="K35" s="15">
        <f t="shared" ca="1" si="6"/>
        <v>0</v>
      </c>
      <c r="M35" s="11" t="s">
        <v>150</v>
      </c>
      <c r="N35" s="16">
        <f ca="1">SUMIFS(Energi!$Q:$Q,Energi!$M:$M,$M35,Energi!$K:$K,N$12,Energi!$X:$X,$N$1)</f>
        <v>0</v>
      </c>
      <c r="O35" s="17">
        <f ca="1">SUMIFS(Energi!$Q:$Q,Energi!$M:$M,$M35,Energi!$K:$K,O$12,Energi!$X:$X,$N$1)</f>
        <v>0</v>
      </c>
      <c r="P35" s="17">
        <f ca="1">SUMIFS(Energi!$Q:$Q,Energi!$M:$M,$M35,Energi!$K:$K,P$12,Energi!$X:$X,$N$1)</f>
        <v>0</v>
      </c>
      <c r="Q35" s="17">
        <f ca="1">SUMIFS(Energi!$Q:$Q,Energi!$M:$M,$M35,Energi!$K:$K,Q$12,Energi!$X:$X,$N$1)</f>
        <v>0</v>
      </c>
      <c r="R35" s="17">
        <f ca="1">SUMIFS(Energi!$Q:$Q,Energi!$M:$M,$M35,Energi!$K:$K,R$12,Energi!$X:$X,$N$1)</f>
        <v>0</v>
      </c>
      <c r="S35" s="17">
        <f ca="1">SUMIFS(Energi!$Q:$Q,Energi!$M:$M,$M35,Energi!$K:$K,S$12,Energi!$X:$X,$N$1)</f>
        <v>0</v>
      </c>
      <c r="T35" s="17">
        <f ca="1">SUMIFS(Energi!$Q:$Q,Energi!$M:$M,$M35,Energi!$K:$K,T$12,Energi!$X:$X,$N$1)</f>
        <v>0</v>
      </c>
      <c r="U35" s="18">
        <f ca="1">SUMIFS(Energi!$Q:$Q,Energi!$M:$M,$M35,Energi!$K:$K,U$12,Energi!$X:$X,$N$1)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SUMIFS(Energi!$Q:$Q,Energi!$M:$M,$B36,Energi!$K:$K,C$12)</f>
        <v>0</v>
      </c>
      <c r="D36" s="17">
        <f ca="1">SUMIFS(Energi!$Q:$Q,Energi!$M:$M,$B36,Energi!$K:$K,D$12)</f>
        <v>0</v>
      </c>
      <c r="E36" s="17">
        <f ca="1">SUMIFS(Energi!$Q:$Q,Energi!$M:$M,$B36,Energi!$K:$K,E$12)</f>
        <v>0</v>
      </c>
      <c r="F36" s="17">
        <f ca="1">SUMIFS(Energi!$Q:$Q,Energi!$M:$M,$B36,Energi!$K:$K,F$12)</f>
        <v>0</v>
      </c>
      <c r="G36" s="17">
        <f ca="1">SUMIFS(Energi!$Q:$Q,Energi!$M:$M,$B36,Energi!$K:$K,G$12)</f>
        <v>0</v>
      </c>
      <c r="H36" s="17">
        <f ca="1">SUMIFS(Energi!$Q:$Q,Energi!$M:$M,$B36,Energi!$K:$K,H$12)</f>
        <v>0</v>
      </c>
      <c r="I36" s="17">
        <f ca="1">SUMIFS(Energi!$Q:$Q,Energi!$M:$M,$B36,Energi!$K:$K,I$12)</f>
        <v>0</v>
      </c>
      <c r="J36" s="18">
        <f ca="1">SUMIFS(Energi!$Q:$Q,Energi!$M:$M,$B36)-SUM(C36:I36)</f>
        <v>0</v>
      </c>
      <c r="K36" s="15">
        <f t="shared" ca="1" si="6"/>
        <v>0</v>
      </c>
      <c r="M36" s="11" t="s">
        <v>157</v>
      </c>
      <c r="N36" s="16">
        <f ca="1">SUMIFS(Energi!$Q:$Q,Energi!$M:$M,$M36,Energi!$K:$K,N$12,Energi!$X:$X,$N$1)</f>
        <v>0</v>
      </c>
      <c r="O36" s="17">
        <f ca="1">SUMIFS(Energi!$Q:$Q,Energi!$M:$M,$M36,Energi!$K:$K,O$12,Energi!$X:$X,$N$1)</f>
        <v>0</v>
      </c>
      <c r="P36" s="17">
        <f ca="1">SUMIFS(Energi!$Q:$Q,Energi!$M:$M,$M36,Energi!$K:$K,P$12,Energi!$X:$X,$N$1)</f>
        <v>0</v>
      </c>
      <c r="Q36" s="17">
        <f ca="1">SUMIFS(Energi!$Q:$Q,Energi!$M:$M,$M36,Energi!$K:$K,Q$12,Energi!$X:$X,$N$1)</f>
        <v>0</v>
      </c>
      <c r="R36" s="17">
        <f ca="1">SUMIFS(Energi!$Q:$Q,Energi!$M:$M,$M36,Energi!$K:$K,R$12,Energi!$X:$X,$N$1)</f>
        <v>0</v>
      </c>
      <c r="S36" s="17">
        <f ca="1">SUMIFS(Energi!$Q:$Q,Energi!$M:$M,$M36,Energi!$K:$K,S$12,Energi!$X:$X,$N$1)</f>
        <v>0</v>
      </c>
      <c r="T36" s="17">
        <f ca="1">SUMIFS(Energi!$Q:$Q,Energi!$M:$M,$M36,Energi!$K:$K,T$12,Energi!$X:$X,$N$1)</f>
        <v>0</v>
      </c>
      <c r="U36" s="18">
        <f ca="1">SUMIFS(Energi!$Q:$Q,Energi!$M:$M,$M36,Energi!$K:$K,U$12,Energi!$X:$X,$N$1)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SUMIFS(Energi!$Q:$Q,Energi!$M:$M,$B37,Energi!$K:$K,C$12)</f>
        <v>0</v>
      </c>
      <c r="D37" s="20">
        <f ca="1">SUMIFS(Energi!$Q:$Q,Energi!$M:$M,$B37,Energi!$K:$K,D$12)</f>
        <v>0</v>
      </c>
      <c r="E37" s="20">
        <f ca="1">SUMIFS(Energi!$Q:$Q,Energi!$M:$M,$B37,Energi!$K:$K,E$12)</f>
        <v>0</v>
      </c>
      <c r="F37" s="20">
        <f ca="1">SUMIFS(Energi!$Q:$Q,Energi!$M:$M,$B37,Energi!$K:$K,F$12)</f>
        <v>0</v>
      </c>
      <c r="G37" s="20">
        <f ca="1">SUMIFS(Energi!$Q:$Q,Energi!$M:$M,$B37,Energi!$K:$K,G$12)</f>
        <v>0</v>
      </c>
      <c r="H37" s="20">
        <f ca="1">SUMIFS(Energi!$Q:$Q,Energi!$M:$M,$B37,Energi!$K:$K,H$12)</f>
        <v>0</v>
      </c>
      <c r="I37" s="20">
        <f ca="1">SUMIFS(Energi!$Q:$Q,Energi!$M:$M,$B37,Energi!$K:$K,I$12)</f>
        <v>0</v>
      </c>
      <c r="J37" s="21">
        <f ca="1">SUMIFS(Energi!$Q:$Q,Energi!$M:$M,$B37)-SUM(C37:I37)</f>
        <v>0</v>
      </c>
      <c r="K37" s="15">
        <f t="shared" ca="1" si="6"/>
        <v>0</v>
      </c>
      <c r="M37" s="11" t="s">
        <v>160</v>
      </c>
      <c r="N37" s="19">
        <f ca="1">SUMIFS(Energi!$Q:$Q,Energi!$M:$M,$M37,Energi!$K:$K,N$12,Energi!$X:$X,$N$1)</f>
        <v>0</v>
      </c>
      <c r="O37" s="20">
        <f ca="1">SUMIFS(Energi!$Q:$Q,Energi!$M:$M,$M37,Energi!$K:$K,O$12,Energi!$X:$X,$N$1)</f>
        <v>0</v>
      </c>
      <c r="P37" s="20">
        <f ca="1">SUMIFS(Energi!$Q:$Q,Energi!$M:$M,$M37,Energi!$K:$K,P$12,Energi!$X:$X,$N$1)</f>
        <v>0</v>
      </c>
      <c r="Q37" s="20">
        <f ca="1">SUMIFS(Energi!$Q:$Q,Energi!$M:$M,$M37,Energi!$K:$K,Q$12,Energi!$X:$X,$N$1)</f>
        <v>0</v>
      </c>
      <c r="R37" s="20">
        <f ca="1">SUMIFS(Energi!$Q:$Q,Energi!$M:$M,$M37,Energi!$K:$K,R$12,Energi!$X:$X,$N$1)</f>
        <v>0</v>
      </c>
      <c r="S37" s="20">
        <f ca="1">SUMIFS(Energi!$Q:$Q,Energi!$M:$M,$M37,Energi!$K:$K,S$12,Energi!$X:$X,$N$1)</f>
        <v>0</v>
      </c>
      <c r="T37" s="20">
        <f ca="1">SUMIFS(Energi!$Q:$Q,Energi!$M:$M,$M37,Energi!$K:$K,T$12,Energi!$X:$X,$N$1)</f>
        <v>0</v>
      </c>
      <c r="U37" s="21">
        <f ca="1">SUMIFS(Energi!$Q:$Q,Energi!$M:$M,$M37,Energi!$K:$K,U$12,Energi!$X:$X,$N$1)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SUMIFS(Energi!$Q:$Q,Energi!$K:$K,C$12)-SUM(C13:C37)</f>
        <v>0</v>
      </c>
      <c r="D38" s="36">
        <f ca="1">SUMIFS(Energi!$Q:$Q,Energi!$K:$K,D$12)-SUM(D13:D37)</f>
        <v>0</v>
      </c>
      <c r="E38" s="36">
        <f ca="1">SUMIFS(Energi!$Q:$Q,Energi!$K:$K,E$12)-SUM(E13:E37)</f>
        <v>0</v>
      </c>
      <c r="F38" s="36">
        <f ca="1">SUMIFS(Energi!$Q:$Q,Energi!$K:$K,F$12)-SUM(F13:F37)</f>
        <v>0</v>
      </c>
      <c r="G38" s="36">
        <f ca="1">SUMIFS(Energi!$Q:$Q,Energi!$K:$K,G$12)-SUM(G13:G37)</f>
        <v>0</v>
      </c>
      <c r="H38" s="36">
        <f ca="1">SUMIFS(Energi!$Q:$Q,Energi!$K:$K,H$12)-SUM(H13:H37)</f>
        <v>0</v>
      </c>
      <c r="I38" s="36">
        <f ca="1">SUMIFS(Energi!$Q:$Q,Energi!$K:$K,I$12)-SUM(I13:I37)</f>
        <v>0</v>
      </c>
      <c r="J38" s="37"/>
      <c r="K38" s="24">
        <f t="shared" ca="1" si="6"/>
        <v>0</v>
      </c>
      <c r="M38" s="22" t="s">
        <v>174</v>
      </c>
      <c r="N38" s="36">
        <f ca="1">SUMIFS(Energi!$Q:$Q,Energi!$K:$K,N$12,Energi!$X:$X,$N$1)-SUM(N13:N37)</f>
        <v>0</v>
      </c>
      <c r="O38" s="36">
        <f ca="1">SUMIFS(Energi!$Q:$Q,Energi!$K:$K,O$12,Energi!$X:$X,$N$1)-SUM(O13:O37)</f>
        <v>0</v>
      </c>
      <c r="P38" s="36">
        <f ca="1">SUMIFS(Energi!$Q:$Q,Energi!$K:$K,P$12,Energi!$X:$X,$N$1)-SUM(P13:P37)</f>
        <v>0</v>
      </c>
      <c r="Q38" s="36">
        <f ca="1">SUMIFS(Energi!$Q:$Q,Energi!$K:$K,Q$12,Energi!$X:$X,$N$1)-SUM(Q13:Q37)</f>
        <v>0</v>
      </c>
      <c r="R38" s="36">
        <f ca="1">SUMIFS(Energi!$Q:$Q,Energi!$K:$K,R$12,Energi!$X:$X,$N$1)-SUM(R13:R37)</f>
        <v>0</v>
      </c>
      <c r="S38" s="36">
        <f ca="1">SUMIFS(Energi!$Q:$Q,Energi!$K:$K,S$12,Energi!$X:$X,$N$1)-SUM(S13:S37)</f>
        <v>0</v>
      </c>
      <c r="T38" s="36">
        <f ca="1">SUMIFS(Energi!$Q:$Q,Energi!$K:$K,T$12,Energi!$X:$X,$N$1)-SUM(T13:T37)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0788D1-D39E-4250-87B8-1D87354AB5DD}">
          <x14:formula1>
            <xm:f>Omraader!$B:$B</xm:f>
          </x14:formula1>
          <xm:sqref>M1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E34DC-4706-4440-AFE9-52C3FB288AEB}">
  <sheetPr>
    <tabColor theme="6"/>
  </sheetPr>
  <dimension ref="B1:V39"/>
  <sheetViews>
    <sheetView workbookViewId="0">
      <selection activeCell="M1" sqref="M1"/>
    </sheetView>
  </sheetViews>
  <sheetFormatPr defaultRowHeight="15" x14ac:dyDescent="0.25"/>
  <cols>
    <col min="2" max="2" width="40.42578125" customWidth="1"/>
    <col min="3" max="8" width="17.28515625" customWidth="1"/>
    <col min="10" max="10" width="9.140625" style="6"/>
    <col min="13" max="13" width="40.42578125" customWidth="1"/>
    <col min="14" max="19" width="17.28515625" customWidth="1"/>
    <col min="21" max="21" width="9.140625" style="6"/>
  </cols>
  <sheetData>
    <row r="1" spans="2:22" ht="15.75" thickBot="1" x14ac:dyDescent="0.3">
      <c r="B1" s="42" t="s">
        <v>212</v>
      </c>
      <c r="M1" s="41"/>
      <c r="N1" s="40" t="str">
        <f>IFERROR(INDEX(Omraader!$A:$A,MATCH($M$1,Omraader!$B:$B,0)),"")</f>
        <v/>
      </c>
    </row>
    <row r="2" spans="2:22" x14ac:dyDescent="0.25">
      <c r="B2" s="7" t="s">
        <v>56</v>
      </c>
      <c r="C2" s="8" t="s">
        <v>51</v>
      </c>
      <c r="D2" s="8" t="s">
        <v>169</v>
      </c>
      <c r="E2" s="8" t="s">
        <v>173</v>
      </c>
      <c r="F2" s="8" t="s">
        <v>164</v>
      </c>
      <c r="G2" s="8" t="s">
        <v>170</v>
      </c>
      <c r="H2" s="8" t="s">
        <v>172</v>
      </c>
      <c r="I2" s="8" t="s">
        <v>171</v>
      </c>
      <c r="J2" s="9" t="s">
        <v>174</v>
      </c>
      <c r="K2" s="10" t="s">
        <v>175</v>
      </c>
      <c r="M2" s="7" t="s">
        <v>56</v>
      </c>
      <c r="N2" s="8" t="s">
        <v>51</v>
      </c>
      <c r="O2" s="8" t="s">
        <v>169</v>
      </c>
      <c r="P2" s="8" t="s">
        <v>173</v>
      </c>
      <c r="Q2" s="8" t="s">
        <v>164</v>
      </c>
      <c r="R2" s="8" t="s">
        <v>170</v>
      </c>
      <c r="S2" s="8" t="s">
        <v>172</v>
      </c>
      <c r="T2" s="8" t="s">
        <v>171</v>
      </c>
      <c r="U2" s="9" t="s">
        <v>174</v>
      </c>
      <c r="V2" s="10" t="s">
        <v>175</v>
      </c>
    </row>
    <row r="3" spans="2:22" x14ac:dyDescent="0.25">
      <c r="B3" s="11" t="s">
        <v>58</v>
      </c>
      <c r="C3" s="12">
        <f ca="1">COUNTIFS(Energi!$N:$N,$B3,Energi!$K:$K,C$2)</f>
        <v>0</v>
      </c>
      <c r="D3" s="13">
        <f ca="1">COUNTIFS(Energi!$N:$N,$B3,Energi!$K:$K,D$2)</f>
        <v>0</v>
      </c>
      <c r="E3" s="13">
        <f ca="1">COUNTIFS(Energi!$N:$N,$B3,Energi!$K:$K,E$2)</f>
        <v>0</v>
      </c>
      <c r="F3" s="13">
        <f ca="1">COUNTIFS(Energi!$N:$N,$B3,Energi!$K:$K,F$2)</f>
        <v>0</v>
      </c>
      <c r="G3" s="13">
        <f ca="1">COUNTIFS(Energi!$N:$N,$B3,Energi!$K:$K,G$2)</f>
        <v>0</v>
      </c>
      <c r="H3" s="13">
        <f ca="1">COUNTIFS(Energi!$N:$N,$B3,Energi!$K:$K,H$2)</f>
        <v>0</v>
      </c>
      <c r="I3" s="13">
        <f ca="1">COUNTIFS(Energi!$N:$N,$B3,Energi!$K:$K,I$2)</f>
        <v>0</v>
      </c>
      <c r="J3" s="14">
        <f ca="1">COUNTIFS(Energi!$N:$N,$B3)-SUM(C3:I3)</f>
        <v>0</v>
      </c>
      <c r="K3" s="15">
        <f ca="1">SUM(C3:J3)</f>
        <v>0</v>
      </c>
      <c r="M3" s="11" t="s">
        <v>58</v>
      </c>
      <c r="N3" s="12">
        <f ca="1">COUNTIFS(Energi!$N:$N,$M3,Energi!$K:$K,N$2,Energi!$X:$X,$N$1)</f>
        <v>0</v>
      </c>
      <c r="O3" s="13">
        <f ca="1">COUNTIFS(Energi!$N:$N,$M3,Energi!$K:$K,O$2,Energi!$X:$X,$N$1)</f>
        <v>0</v>
      </c>
      <c r="P3" s="13">
        <f ca="1">COUNTIFS(Energi!$N:$N,$M3,Energi!$K:$K,P$2,Energi!$X:$X,$N$1)</f>
        <v>0</v>
      </c>
      <c r="Q3" s="13">
        <f ca="1">COUNTIFS(Energi!$N:$N,$M3,Energi!$K:$K,Q$2,Energi!$X:$X,$N$1)</f>
        <v>0</v>
      </c>
      <c r="R3" s="13">
        <f ca="1">COUNTIFS(Energi!$N:$N,$M3,Energi!$K:$K,R$2,Energi!$X:$X,$N$1)</f>
        <v>0</v>
      </c>
      <c r="S3" s="13">
        <f ca="1">COUNTIFS(Energi!$N:$N,$M3,Energi!$K:$K,S$2,Energi!$X:$X,$N$1)</f>
        <v>0</v>
      </c>
      <c r="T3" s="13">
        <f ca="1">COUNTIFS(Energi!$N:$N,$M3,Energi!$K:$K,T$2,Energi!$X:$X,$N$1)</f>
        <v>0</v>
      </c>
      <c r="U3" s="14">
        <f ca="1">COUNTIFS(Energi!$N:$N,$M3,Energi!$K:$K,U$2,Energi!$X:$X,$N$1)</f>
        <v>0</v>
      </c>
      <c r="V3" s="15">
        <f ca="1">SUM(N3:U3)</f>
        <v>0</v>
      </c>
    </row>
    <row r="4" spans="2:22" x14ac:dyDescent="0.25">
      <c r="B4" s="11" t="s">
        <v>68</v>
      </c>
      <c r="C4" s="16">
        <f ca="1">COUNTIFS(Energi!$N:$N,$B4,Energi!$K:$K,C$2)</f>
        <v>0</v>
      </c>
      <c r="D4" s="17">
        <f ca="1">COUNTIFS(Energi!$N:$N,$B4,Energi!$K:$K,D$2)</f>
        <v>0</v>
      </c>
      <c r="E4" s="17">
        <f ca="1">COUNTIFS(Energi!$N:$N,$B4,Energi!$K:$K,E$2)</f>
        <v>0</v>
      </c>
      <c r="F4" s="17">
        <f ca="1">COUNTIFS(Energi!$N:$N,$B4,Energi!$K:$K,F$2)</f>
        <v>0</v>
      </c>
      <c r="G4" s="17">
        <f ca="1">COUNTIFS(Energi!$N:$N,$B4,Energi!$K:$K,G$2)</f>
        <v>0</v>
      </c>
      <c r="H4" s="17">
        <f ca="1">COUNTIFS(Energi!$N:$N,$B4,Energi!$K:$K,H$2)</f>
        <v>0</v>
      </c>
      <c r="I4" s="17">
        <f ca="1">COUNTIFS(Energi!$N:$N,$B4,Energi!$K:$K,I$2)</f>
        <v>0</v>
      </c>
      <c r="J4" s="18">
        <f ca="1">COUNTIFS(Energi!$N:$N,$B4)-SUM(C4:I4)</f>
        <v>0</v>
      </c>
      <c r="K4" s="15">
        <f t="shared" ref="K4:K9" ca="1" si="0">SUM(C4:J4)</f>
        <v>0</v>
      </c>
      <c r="M4" s="11" t="s">
        <v>68</v>
      </c>
      <c r="N4" s="16">
        <f ca="1">COUNTIFS(Energi!$N:$N,$M4,Energi!$K:$K,N$2,Energi!$X:$X,$N$1)</f>
        <v>0</v>
      </c>
      <c r="O4" s="17">
        <f ca="1">COUNTIFS(Energi!$N:$N,$M4,Energi!$K:$K,O$2,Energi!$X:$X,$N$1)</f>
        <v>0</v>
      </c>
      <c r="P4" s="17">
        <f ca="1">COUNTIFS(Energi!$N:$N,$M4,Energi!$K:$K,P$2,Energi!$X:$X,$N$1)</f>
        <v>0</v>
      </c>
      <c r="Q4" s="17">
        <f ca="1">COUNTIFS(Energi!$N:$N,$M4,Energi!$K:$K,Q$2,Energi!$X:$X,$N$1)</f>
        <v>0</v>
      </c>
      <c r="R4" s="17">
        <f ca="1">COUNTIFS(Energi!$N:$N,$M4,Energi!$K:$K,R$2,Energi!$X:$X,$N$1)</f>
        <v>0</v>
      </c>
      <c r="S4" s="17">
        <f ca="1">COUNTIFS(Energi!$N:$N,$M4,Energi!$K:$K,S$2,Energi!$X:$X,$N$1)</f>
        <v>0</v>
      </c>
      <c r="T4" s="17">
        <f ca="1">COUNTIFS(Energi!$N:$N,$M4,Energi!$K:$K,T$2,Energi!$X:$X,$N$1)</f>
        <v>0</v>
      </c>
      <c r="U4" s="18">
        <f ca="1">COUNTIFS(Energi!$N:$N,$M4,Energi!$K:$K,U$2,Energi!$X:$X,$N$1)</f>
        <v>0</v>
      </c>
      <c r="V4" s="15">
        <f t="shared" ref="V4:V9" ca="1" si="1">SUM(N4:U4)</f>
        <v>0</v>
      </c>
    </row>
    <row r="5" spans="2:22" x14ac:dyDescent="0.25">
      <c r="B5" s="11" t="s">
        <v>72</v>
      </c>
      <c r="C5" s="16">
        <f ca="1">COUNTIFS(Energi!$N:$N,$B5,Energi!$K:$K,C$2)</f>
        <v>0</v>
      </c>
      <c r="D5" s="17">
        <f ca="1">COUNTIFS(Energi!$N:$N,$B5,Energi!$K:$K,D$2)</f>
        <v>0</v>
      </c>
      <c r="E5" s="17">
        <f ca="1">COUNTIFS(Energi!$N:$N,$B5,Energi!$K:$K,E$2)</f>
        <v>0</v>
      </c>
      <c r="F5" s="17">
        <f ca="1">COUNTIFS(Energi!$N:$N,$B5,Energi!$K:$K,F$2)</f>
        <v>0</v>
      </c>
      <c r="G5" s="17">
        <f ca="1">COUNTIFS(Energi!$N:$N,$B5,Energi!$K:$K,G$2)</f>
        <v>0</v>
      </c>
      <c r="H5" s="17">
        <f ca="1">COUNTIFS(Energi!$N:$N,$B5,Energi!$K:$K,H$2)</f>
        <v>0</v>
      </c>
      <c r="I5" s="17">
        <f ca="1">COUNTIFS(Energi!$N:$N,$B5,Energi!$K:$K,I$2)</f>
        <v>0</v>
      </c>
      <c r="J5" s="18">
        <f ca="1">COUNTIFS(Energi!$N:$N,$B5)-SUM(C5:I5)</f>
        <v>0</v>
      </c>
      <c r="K5" s="15">
        <f t="shared" ca="1" si="0"/>
        <v>0</v>
      </c>
      <c r="M5" s="11" t="s">
        <v>72</v>
      </c>
      <c r="N5" s="16">
        <f ca="1">COUNTIFS(Energi!$N:$N,$M5,Energi!$K:$K,N$2,Energi!$X:$X,$N$1)</f>
        <v>0</v>
      </c>
      <c r="O5" s="17">
        <f ca="1">COUNTIFS(Energi!$N:$N,$M5,Energi!$K:$K,O$2,Energi!$X:$X,$N$1)</f>
        <v>0</v>
      </c>
      <c r="P5" s="17">
        <f ca="1">COUNTIFS(Energi!$N:$N,$M5,Energi!$K:$K,P$2,Energi!$X:$X,$N$1)</f>
        <v>0</v>
      </c>
      <c r="Q5" s="17">
        <f ca="1">COUNTIFS(Energi!$N:$N,$M5,Energi!$K:$K,Q$2,Energi!$X:$X,$N$1)</f>
        <v>0</v>
      </c>
      <c r="R5" s="17">
        <f ca="1">COUNTIFS(Energi!$N:$N,$M5,Energi!$K:$K,R$2,Energi!$X:$X,$N$1)</f>
        <v>0</v>
      </c>
      <c r="S5" s="17">
        <f ca="1">COUNTIFS(Energi!$N:$N,$M5,Energi!$K:$K,S$2,Energi!$X:$X,$N$1)</f>
        <v>0</v>
      </c>
      <c r="T5" s="17">
        <f ca="1">COUNTIFS(Energi!$N:$N,$M5,Energi!$K:$K,T$2,Energi!$X:$X,$N$1)</f>
        <v>0</v>
      </c>
      <c r="U5" s="18">
        <f ca="1">COUNTIFS(Energi!$N:$N,$M5,Energi!$K:$K,U$2,Energi!$X:$X,$N$1)</f>
        <v>0</v>
      </c>
      <c r="V5" s="15">
        <f t="shared" ca="1" si="1"/>
        <v>0</v>
      </c>
    </row>
    <row r="6" spans="2:22" x14ac:dyDescent="0.25">
      <c r="B6" s="11" t="s">
        <v>83</v>
      </c>
      <c r="C6" s="16">
        <f ca="1">COUNTIFS(Energi!$N:$N,$B6,Energi!$K:$K,C$2)</f>
        <v>0</v>
      </c>
      <c r="D6" s="17">
        <f ca="1">COUNTIFS(Energi!$N:$N,$B6,Energi!$K:$K,D$2)</f>
        <v>0</v>
      </c>
      <c r="E6" s="17">
        <f ca="1">COUNTIFS(Energi!$N:$N,$B6,Energi!$K:$K,E$2)</f>
        <v>0</v>
      </c>
      <c r="F6" s="17">
        <f ca="1">COUNTIFS(Energi!$N:$N,$B6,Energi!$K:$K,F$2)</f>
        <v>0</v>
      </c>
      <c r="G6" s="17">
        <f ca="1">COUNTIFS(Energi!$N:$N,$B6,Energi!$K:$K,G$2)</f>
        <v>0</v>
      </c>
      <c r="H6" s="17">
        <f ca="1">COUNTIFS(Energi!$N:$N,$B6,Energi!$K:$K,H$2)</f>
        <v>0</v>
      </c>
      <c r="I6" s="17">
        <f ca="1">COUNTIFS(Energi!$N:$N,$B6,Energi!$K:$K,I$2)</f>
        <v>0</v>
      </c>
      <c r="J6" s="18">
        <f ca="1">COUNTIFS(Energi!$N:$N,$B6)-SUM(C6:I6)</f>
        <v>0</v>
      </c>
      <c r="K6" s="15">
        <f t="shared" ca="1" si="0"/>
        <v>0</v>
      </c>
      <c r="M6" s="11" t="s">
        <v>83</v>
      </c>
      <c r="N6" s="16">
        <f ca="1">COUNTIFS(Energi!$N:$N,$M6,Energi!$K:$K,N$2,Energi!$X:$X,$N$1)</f>
        <v>0</v>
      </c>
      <c r="O6" s="17">
        <f ca="1">COUNTIFS(Energi!$N:$N,$M6,Energi!$K:$K,O$2,Energi!$X:$X,$N$1)</f>
        <v>0</v>
      </c>
      <c r="P6" s="17">
        <f ca="1">COUNTIFS(Energi!$N:$N,$M6,Energi!$K:$K,P$2,Energi!$X:$X,$N$1)</f>
        <v>0</v>
      </c>
      <c r="Q6" s="17">
        <f ca="1">COUNTIFS(Energi!$N:$N,$M6,Energi!$K:$K,Q$2,Energi!$X:$X,$N$1)</f>
        <v>0</v>
      </c>
      <c r="R6" s="17">
        <f ca="1">COUNTIFS(Energi!$N:$N,$M6,Energi!$K:$K,R$2,Energi!$X:$X,$N$1)</f>
        <v>0</v>
      </c>
      <c r="S6" s="17">
        <f ca="1">COUNTIFS(Energi!$N:$N,$M6,Energi!$K:$K,S$2,Energi!$X:$X,$N$1)</f>
        <v>0</v>
      </c>
      <c r="T6" s="17">
        <f ca="1">COUNTIFS(Energi!$N:$N,$M6,Energi!$K:$K,T$2,Energi!$X:$X,$N$1)</f>
        <v>0</v>
      </c>
      <c r="U6" s="18">
        <f ca="1">COUNTIFS(Energi!$N:$N,$M6,Energi!$K:$K,U$2,Energi!$X:$X,$N$1)</f>
        <v>0</v>
      </c>
      <c r="V6" s="15">
        <f t="shared" ca="1" si="1"/>
        <v>0</v>
      </c>
    </row>
    <row r="7" spans="2:22" x14ac:dyDescent="0.25">
      <c r="B7" s="11" t="s">
        <v>95</v>
      </c>
      <c r="C7" s="19">
        <f ca="1">COUNTIFS(Energi!$N:$N,$B7,Energi!$K:$K,C$2)</f>
        <v>0</v>
      </c>
      <c r="D7" s="20">
        <f ca="1">COUNTIFS(Energi!$N:$N,$B7,Energi!$K:$K,D$2)</f>
        <v>0</v>
      </c>
      <c r="E7" s="20">
        <f ca="1">COUNTIFS(Energi!$N:$N,$B7,Energi!$K:$K,E$2)</f>
        <v>0</v>
      </c>
      <c r="F7" s="20">
        <f ca="1">COUNTIFS(Energi!$N:$N,$B7,Energi!$K:$K,F$2)</f>
        <v>0</v>
      </c>
      <c r="G7" s="20">
        <f ca="1">COUNTIFS(Energi!$N:$N,$B7,Energi!$K:$K,G$2)</f>
        <v>0</v>
      </c>
      <c r="H7" s="20">
        <f ca="1">COUNTIFS(Energi!$N:$N,$B7,Energi!$K:$K,H$2)</f>
        <v>0</v>
      </c>
      <c r="I7" s="20">
        <f ca="1">COUNTIFS(Energi!$N:$N,$B7,Energi!$K:$K,I$2)</f>
        <v>0</v>
      </c>
      <c r="J7" s="21">
        <f ca="1">COUNTIFS(Energi!$N:$N,$B7)-SUM(C7:I7)</f>
        <v>0</v>
      </c>
      <c r="K7" s="15">
        <f t="shared" ca="1" si="0"/>
        <v>0</v>
      </c>
      <c r="M7" s="11" t="s">
        <v>95</v>
      </c>
      <c r="N7" s="19">
        <f ca="1">COUNTIFS(Energi!$N:$N,$M7,Energi!$K:$K,N$2,Energi!$X:$X,$N$1)</f>
        <v>0</v>
      </c>
      <c r="O7" s="20">
        <f ca="1">COUNTIFS(Energi!$N:$N,$M7,Energi!$K:$K,O$2,Energi!$X:$X,$N$1)</f>
        <v>0</v>
      </c>
      <c r="P7" s="20">
        <f ca="1">COUNTIFS(Energi!$N:$N,$M7,Energi!$K:$K,P$2,Energi!$X:$X,$N$1)</f>
        <v>0</v>
      </c>
      <c r="Q7" s="20">
        <f ca="1">COUNTIFS(Energi!$N:$N,$M7,Energi!$K:$K,Q$2,Energi!$X:$X,$N$1)</f>
        <v>0</v>
      </c>
      <c r="R7" s="20">
        <f ca="1">COUNTIFS(Energi!$N:$N,$M7,Energi!$K:$K,R$2,Energi!$X:$X,$N$1)</f>
        <v>0</v>
      </c>
      <c r="S7" s="20">
        <f ca="1">COUNTIFS(Energi!$N:$N,$M7,Energi!$K:$K,S$2,Energi!$X:$X,$N$1)</f>
        <v>0</v>
      </c>
      <c r="T7" s="20">
        <f ca="1">COUNTIFS(Energi!$N:$N,$M7,Energi!$K:$K,T$2,Energi!$X:$X,$N$1)</f>
        <v>0</v>
      </c>
      <c r="U7" s="21">
        <f ca="1">COUNTIFS(Energi!$N:$N,$M7,Energi!$K:$K,U$2,Energi!$X:$X,$N$1)</f>
        <v>0</v>
      </c>
      <c r="V7" s="15">
        <f t="shared" ca="1" si="1"/>
        <v>0</v>
      </c>
    </row>
    <row r="8" spans="2:22" x14ac:dyDescent="0.25">
      <c r="B8" s="22" t="s">
        <v>174</v>
      </c>
      <c r="C8" s="20">
        <f ca="1">COUNTIFS(Energi!$K:$K,C$2)-SUM(C3:C7)</f>
        <v>0</v>
      </c>
      <c r="D8" s="20">
        <f ca="1">COUNTIFS(Energi!$K:$K,D$2)-SUM(D3:D7)</f>
        <v>0</v>
      </c>
      <c r="E8" s="20">
        <f ca="1">COUNTIFS(Energi!$K:$K,E$2)-SUM(E3:E7)</f>
        <v>0</v>
      </c>
      <c r="F8" s="20">
        <f ca="1">COUNTIFS(Energi!$K:$K,F$2)-SUM(F3:F7)</f>
        <v>0</v>
      </c>
      <c r="G8" s="20">
        <f ca="1">COUNTIFS(Energi!$K:$K,G$2)-SUM(G3:G7)</f>
        <v>0</v>
      </c>
      <c r="H8" s="20">
        <f ca="1">COUNTIFS(Energi!$K:$K,H$2)-SUM(H3:H7)</f>
        <v>0</v>
      </c>
      <c r="I8" s="20">
        <f ca="1">COUNTIFS(Energi!$K:$K,I$2)-SUM(I3:I7)</f>
        <v>0</v>
      </c>
      <c r="J8" s="23"/>
      <c r="K8" s="24">
        <f t="shared" ca="1" si="0"/>
        <v>0</v>
      </c>
      <c r="M8" s="22" t="s">
        <v>174</v>
      </c>
      <c r="N8" s="20">
        <f ca="1">COUNTIFS(Energi!$K:$K,N$2,Energi!$X:$X,$N$1)-SUM(N3:N7)</f>
        <v>0</v>
      </c>
      <c r="O8" s="20">
        <f ca="1">COUNTIFS(Energi!$K:$K,O$2,Energi!$X:$X,$N$1)-SUM(O3:O7)</f>
        <v>0</v>
      </c>
      <c r="P8" s="20">
        <f ca="1">COUNTIFS(Energi!$K:$K,P$2,Energi!$X:$X,$N$1)-SUM(P3:P7)</f>
        <v>0</v>
      </c>
      <c r="Q8" s="20">
        <f ca="1">COUNTIFS(Energi!$K:$K,Q$2,Energi!$X:$X,$N$1)-SUM(Q3:Q7)</f>
        <v>0</v>
      </c>
      <c r="R8" s="20">
        <f ca="1">COUNTIFS(Energi!$K:$K,R$2,Energi!$X:$X,$N$1)-SUM(R3:R7)</f>
        <v>0</v>
      </c>
      <c r="S8" s="20">
        <f ca="1">COUNTIFS(Energi!$K:$K,S$2,Energi!$X:$X,$N$1)-SUM(S3:S7)</f>
        <v>0</v>
      </c>
      <c r="T8" s="20">
        <f ca="1">COUNTIFS(Energi!$K:$K,T$2,Energi!$X:$X,$N$1)-SUM(T3:T7)</f>
        <v>0</v>
      </c>
      <c r="U8" s="23"/>
      <c r="V8" s="24">
        <f t="shared" ca="1" si="1"/>
        <v>0</v>
      </c>
    </row>
    <row r="9" spans="2:22" ht="15.75" thickBot="1" x14ac:dyDescent="0.3">
      <c r="B9" s="25" t="s">
        <v>175</v>
      </c>
      <c r="C9" s="26">
        <f ca="1">SUM(C3:C7)</f>
        <v>0</v>
      </c>
      <c r="D9" s="26">
        <f t="shared" ref="D9:J9" ca="1" si="2">SUM(D3:D7)</f>
        <v>0</v>
      </c>
      <c r="E9" s="26">
        <f t="shared" ca="1" si="2"/>
        <v>0</v>
      </c>
      <c r="F9" s="26">
        <f t="shared" ca="1" si="2"/>
        <v>0</v>
      </c>
      <c r="G9" s="26">
        <f t="shared" ca="1" si="2"/>
        <v>0</v>
      </c>
      <c r="H9" s="26">
        <f t="shared" ca="1" si="2"/>
        <v>0</v>
      </c>
      <c r="I9" s="26">
        <f t="shared" ca="1" si="2"/>
        <v>0</v>
      </c>
      <c r="J9" s="27">
        <f t="shared" ca="1" si="2"/>
        <v>0</v>
      </c>
      <c r="K9" s="28">
        <f t="shared" ca="1" si="0"/>
        <v>0</v>
      </c>
      <c r="M9" s="25" t="s">
        <v>175</v>
      </c>
      <c r="N9" s="26">
        <f ca="1">SUM(N3:N7)</f>
        <v>0</v>
      </c>
      <c r="O9" s="26">
        <f t="shared" ref="O9:U9" ca="1" si="3">SUM(O3:O7)</f>
        <v>0</v>
      </c>
      <c r="P9" s="26">
        <f t="shared" ca="1" si="3"/>
        <v>0</v>
      </c>
      <c r="Q9" s="26">
        <f t="shared" ca="1" si="3"/>
        <v>0</v>
      </c>
      <c r="R9" s="26">
        <f t="shared" ca="1" si="3"/>
        <v>0</v>
      </c>
      <c r="S9" s="26">
        <f t="shared" ca="1" si="3"/>
        <v>0</v>
      </c>
      <c r="T9" s="26">
        <f t="shared" ca="1" si="3"/>
        <v>0</v>
      </c>
      <c r="U9" s="27">
        <f t="shared" ca="1" si="3"/>
        <v>0</v>
      </c>
      <c r="V9" s="28">
        <f t="shared" ca="1" si="1"/>
        <v>0</v>
      </c>
    </row>
    <row r="10" spans="2:22" x14ac:dyDescent="0.25">
      <c r="C10" s="29"/>
      <c r="D10" s="29"/>
      <c r="E10" s="29"/>
      <c r="F10" s="29"/>
      <c r="G10" s="29"/>
      <c r="H10" s="29"/>
      <c r="I10" s="29"/>
      <c r="N10" s="29"/>
      <c r="O10" s="29"/>
      <c r="P10" s="29"/>
      <c r="Q10" s="29"/>
      <c r="R10" s="29"/>
      <c r="S10" s="29"/>
      <c r="T10" s="29"/>
    </row>
    <row r="11" spans="2:22" ht="15.75" thickBot="1" x14ac:dyDescent="0.3">
      <c r="C11" s="29"/>
      <c r="D11" s="29"/>
      <c r="E11" s="29"/>
      <c r="F11" s="29"/>
      <c r="G11" s="29"/>
      <c r="H11" s="29"/>
      <c r="I11" s="29"/>
      <c r="N11" s="29"/>
      <c r="O11" s="29"/>
      <c r="P11" s="29"/>
      <c r="Q11" s="29"/>
      <c r="R11" s="29"/>
      <c r="S11" s="29"/>
      <c r="T11" s="29"/>
    </row>
    <row r="12" spans="2:22" x14ac:dyDescent="0.25">
      <c r="B12" s="7" t="s">
        <v>55</v>
      </c>
      <c r="C12" s="30" t="str">
        <f>C2</f>
        <v>Naturgas</v>
      </c>
      <c r="D12" s="31" t="str">
        <f t="shared" ref="D12:K12" si="4">D2</f>
        <v>Fjernvarme/ Blokvarme</v>
      </c>
      <c r="E12" s="31" t="str">
        <f t="shared" si="4"/>
        <v>Ingen varmeinstallation</v>
      </c>
      <c r="F12" s="31" t="str">
        <f t="shared" si="4"/>
        <v>Varmepumpe</v>
      </c>
      <c r="G12" s="31" t="str">
        <f t="shared" si="4"/>
        <v>Olie</v>
      </c>
      <c r="H12" s="31" t="str">
        <f t="shared" si="4"/>
        <v>Elvarme</v>
      </c>
      <c r="I12" s="31" t="str">
        <f t="shared" si="4"/>
        <v>Biomasse</v>
      </c>
      <c r="J12" s="32" t="str">
        <f t="shared" si="4"/>
        <v>Andet</v>
      </c>
      <c r="K12" s="33" t="str">
        <f t="shared" si="4"/>
        <v>Sum</v>
      </c>
      <c r="M12" s="7" t="s">
        <v>55</v>
      </c>
      <c r="N12" s="30" t="str">
        <f>N2</f>
        <v>Naturgas</v>
      </c>
      <c r="O12" s="31" t="str">
        <f t="shared" ref="O12:V12" si="5">O2</f>
        <v>Fjernvarme/ Blokvarme</v>
      </c>
      <c r="P12" s="31" t="str">
        <f t="shared" si="5"/>
        <v>Ingen varmeinstallation</v>
      </c>
      <c r="Q12" s="31" t="str">
        <f t="shared" si="5"/>
        <v>Varmepumpe</v>
      </c>
      <c r="R12" s="31" t="str">
        <f t="shared" si="5"/>
        <v>Olie</v>
      </c>
      <c r="S12" s="31" t="str">
        <f t="shared" si="5"/>
        <v>Elvarme</v>
      </c>
      <c r="T12" s="31" t="str">
        <f t="shared" si="5"/>
        <v>Biomasse</v>
      </c>
      <c r="U12" s="32" t="str">
        <f t="shared" si="5"/>
        <v>Andet</v>
      </c>
      <c r="V12" s="33" t="str">
        <f t="shared" si="5"/>
        <v>Sum</v>
      </c>
    </row>
    <row r="13" spans="2:22" x14ac:dyDescent="0.25">
      <c r="B13" s="34" t="s">
        <v>57</v>
      </c>
      <c r="C13" s="12">
        <f ca="1">COUNTIFS(Energi!$M:$M,$B13,Energi!$K:$K,C$12)</f>
        <v>0</v>
      </c>
      <c r="D13" s="13">
        <f ca="1">COUNTIFS(Energi!$M:$M,$B13,Energi!$K:$K,D$12)</f>
        <v>0</v>
      </c>
      <c r="E13" s="13">
        <f ca="1">COUNTIFS(Energi!$M:$M,$B13,Energi!$K:$K,E$12)</f>
        <v>0</v>
      </c>
      <c r="F13" s="13">
        <f ca="1">COUNTIFS(Energi!$M:$M,$B13,Energi!$K:$K,F$12)</f>
        <v>0</v>
      </c>
      <c r="G13" s="13">
        <f ca="1">COUNTIFS(Energi!$M:$M,$B13,Energi!$K:$K,G$12)</f>
        <v>0</v>
      </c>
      <c r="H13" s="13">
        <f ca="1">COUNTIFS(Energi!$M:$M,$B13,Energi!$K:$K,H$12)</f>
        <v>0</v>
      </c>
      <c r="I13" s="13">
        <f ca="1">COUNTIFS(Energi!$M:$M,$B13,Energi!$K:$K,I$12)</f>
        <v>0</v>
      </c>
      <c r="J13" s="14">
        <f ca="1">COUNTIFS(Energi!$M:$M,$B13)-SUM(C13:I13)</f>
        <v>0</v>
      </c>
      <c r="K13" s="35">
        <f t="shared" ref="K13:K39" ca="1" si="6">SUM(C13:J13)</f>
        <v>0</v>
      </c>
      <c r="M13" s="34" t="s">
        <v>57</v>
      </c>
      <c r="N13" s="12">
        <f ca="1">COUNTIFS(Energi!$M:$M,$M13,Energi!$K:$K,N$12,Energi!$X:$X,$N$1)</f>
        <v>0</v>
      </c>
      <c r="O13" s="13">
        <f ca="1">COUNTIFS(Energi!$M:$M,$M13,Energi!$K:$K,O$12,Energi!$X:$X,$N$1)</f>
        <v>0</v>
      </c>
      <c r="P13" s="13">
        <f ca="1">COUNTIFS(Energi!$M:$M,$M13,Energi!$K:$K,P$12,Energi!$X:$X,$N$1)</f>
        <v>0</v>
      </c>
      <c r="Q13" s="13">
        <f ca="1">COUNTIFS(Energi!$M:$M,$M13,Energi!$K:$K,Q$12,Energi!$X:$X,$N$1)</f>
        <v>0</v>
      </c>
      <c r="R13" s="13">
        <f ca="1">COUNTIFS(Energi!$M:$M,$M13,Energi!$K:$K,R$12,Energi!$X:$X,$N$1)</f>
        <v>0</v>
      </c>
      <c r="S13" s="13">
        <f ca="1">COUNTIFS(Energi!$M:$M,$M13,Energi!$K:$K,S$12,Energi!$X:$X,$N$1)</f>
        <v>0</v>
      </c>
      <c r="T13" s="13">
        <f ca="1">COUNTIFS(Energi!$M:$M,$M13,Energi!$K:$K,T$12,Energi!$X:$X,$N$1)</f>
        <v>0</v>
      </c>
      <c r="U13" s="14">
        <f ca="1">COUNTIFS(Energi!$M:$M,$M13,Energi!$K:$K,U$12,Energi!$X:$X,$N$1)</f>
        <v>0</v>
      </c>
      <c r="V13" s="35">
        <f t="shared" ref="V13:V39" ca="1" si="7">SUM(N13:U13)</f>
        <v>0</v>
      </c>
    </row>
    <row r="14" spans="2:22" x14ac:dyDescent="0.25">
      <c r="B14" s="11" t="s">
        <v>60</v>
      </c>
      <c r="C14" s="16">
        <f ca="1">COUNTIFS(Energi!$M:$M,$B14,Energi!$K:$K,C$12)</f>
        <v>0</v>
      </c>
      <c r="D14" s="17">
        <f ca="1">COUNTIFS(Energi!$M:$M,$B14,Energi!$K:$K,D$12)</f>
        <v>0</v>
      </c>
      <c r="E14" s="17">
        <f ca="1">COUNTIFS(Energi!$M:$M,$B14,Energi!$K:$K,E$12)</f>
        <v>0</v>
      </c>
      <c r="F14" s="17">
        <f ca="1">COUNTIFS(Energi!$M:$M,$B14,Energi!$K:$K,F$12)</f>
        <v>0</v>
      </c>
      <c r="G14" s="17">
        <f ca="1">COUNTIFS(Energi!$M:$M,$B14,Energi!$K:$K,G$12)</f>
        <v>0</v>
      </c>
      <c r="H14" s="17">
        <f ca="1">COUNTIFS(Energi!$M:$M,$B14,Energi!$K:$K,H$12)</f>
        <v>0</v>
      </c>
      <c r="I14" s="17">
        <f ca="1">COUNTIFS(Energi!$M:$M,$B14,Energi!$K:$K,I$12)</f>
        <v>0</v>
      </c>
      <c r="J14" s="18">
        <f ca="1">COUNTIFS(Energi!$M:$M,$B14)-SUM(C14:I14)</f>
        <v>0</v>
      </c>
      <c r="K14" s="15">
        <f t="shared" ca="1" si="6"/>
        <v>0</v>
      </c>
      <c r="M14" s="11" t="s">
        <v>60</v>
      </c>
      <c r="N14" s="16">
        <f ca="1">COUNTIFS(Energi!$M:$M,$M14,Energi!$K:$K,N$12,Energi!$X:$X,$N$1)</f>
        <v>0</v>
      </c>
      <c r="O14" s="17">
        <f ca="1">COUNTIFS(Energi!$M:$M,$M14,Energi!$K:$K,O$12,Energi!$X:$X,$N$1)</f>
        <v>0</v>
      </c>
      <c r="P14" s="17">
        <f ca="1">COUNTIFS(Energi!$M:$M,$M14,Energi!$K:$K,P$12,Energi!$X:$X,$N$1)</f>
        <v>0</v>
      </c>
      <c r="Q14" s="17">
        <f ca="1">COUNTIFS(Energi!$M:$M,$M14,Energi!$K:$K,Q$12,Energi!$X:$X,$N$1)</f>
        <v>0</v>
      </c>
      <c r="R14" s="17">
        <f ca="1">COUNTIFS(Energi!$M:$M,$M14,Energi!$K:$K,R$12,Energi!$X:$X,$N$1)</f>
        <v>0</v>
      </c>
      <c r="S14" s="17">
        <f ca="1">COUNTIFS(Energi!$M:$M,$M14,Energi!$K:$K,S$12,Energi!$X:$X,$N$1)</f>
        <v>0</v>
      </c>
      <c r="T14" s="17">
        <f ca="1">COUNTIFS(Energi!$M:$M,$M14,Energi!$K:$K,T$12,Energi!$X:$X,$N$1)</f>
        <v>0</v>
      </c>
      <c r="U14" s="18">
        <f ca="1">COUNTIFS(Energi!$M:$M,$M14,Energi!$K:$K,U$12,Energi!$X:$X,$N$1)</f>
        <v>0</v>
      </c>
      <c r="V14" s="15">
        <f t="shared" ca="1" si="7"/>
        <v>0</v>
      </c>
    </row>
    <row r="15" spans="2:22" x14ac:dyDescent="0.25">
      <c r="B15" s="11" t="s">
        <v>62</v>
      </c>
      <c r="C15" s="16">
        <f ca="1">COUNTIFS(Energi!$M:$M,$B15,Energi!$K:$K,C$12)</f>
        <v>0</v>
      </c>
      <c r="D15" s="17">
        <f ca="1">COUNTIFS(Energi!$M:$M,$B15,Energi!$K:$K,D$12)</f>
        <v>0</v>
      </c>
      <c r="E15" s="17">
        <f ca="1">COUNTIFS(Energi!$M:$M,$B15,Energi!$K:$K,E$12)</f>
        <v>0</v>
      </c>
      <c r="F15" s="17">
        <f ca="1">COUNTIFS(Energi!$M:$M,$B15,Energi!$K:$K,F$12)</f>
        <v>0</v>
      </c>
      <c r="G15" s="17">
        <f ca="1">COUNTIFS(Energi!$M:$M,$B15,Energi!$K:$K,G$12)</f>
        <v>0</v>
      </c>
      <c r="H15" s="17">
        <f ca="1">COUNTIFS(Energi!$M:$M,$B15,Energi!$K:$K,H$12)</f>
        <v>0</v>
      </c>
      <c r="I15" s="17">
        <f ca="1">COUNTIFS(Energi!$M:$M,$B15,Energi!$K:$K,I$12)</f>
        <v>0</v>
      </c>
      <c r="J15" s="18">
        <f ca="1">COUNTIFS(Energi!$M:$M,$B15)-SUM(C15:I15)</f>
        <v>0</v>
      </c>
      <c r="K15" s="15">
        <f t="shared" ca="1" si="6"/>
        <v>0</v>
      </c>
      <c r="M15" s="11" t="s">
        <v>62</v>
      </c>
      <c r="N15" s="16">
        <f ca="1">COUNTIFS(Energi!$M:$M,$M15,Energi!$K:$K,N$12,Energi!$X:$X,$N$1)</f>
        <v>0</v>
      </c>
      <c r="O15" s="17">
        <f ca="1">COUNTIFS(Energi!$M:$M,$M15,Energi!$K:$K,O$12,Energi!$X:$X,$N$1)</f>
        <v>0</v>
      </c>
      <c r="P15" s="17">
        <f ca="1">COUNTIFS(Energi!$M:$M,$M15,Energi!$K:$K,P$12,Energi!$X:$X,$N$1)</f>
        <v>0</v>
      </c>
      <c r="Q15" s="17">
        <f ca="1">COUNTIFS(Energi!$M:$M,$M15,Energi!$K:$K,Q$12,Energi!$X:$X,$N$1)</f>
        <v>0</v>
      </c>
      <c r="R15" s="17">
        <f ca="1">COUNTIFS(Energi!$M:$M,$M15,Energi!$K:$K,R$12,Energi!$X:$X,$N$1)</f>
        <v>0</v>
      </c>
      <c r="S15" s="17">
        <f ca="1">COUNTIFS(Energi!$M:$M,$M15,Energi!$K:$K,S$12,Energi!$X:$X,$N$1)</f>
        <v>0</v>
      </c>
      <c r="T15" s="17">
        <f ca="1">COUNTIFS(Energi!$M:$M,$M15,Energi!$K:$K,T$12,Energi!$X:$X,$N$1)</f>
        <v>0</v>
      </c>
      <c r="U15" s="18">
        <f ca="1">COUNTIFS(Energi!$M:$M,$M15,Energi!$K:$K,U$12,Energi!$X:$X,$N$1)</f>
        <v>0</v>
      </c>
      <c r="V15" s="15">
        <f t="shared" ca="1" si="7"/>
        <v>0</v>
      </c>
    </row>
    <row r="16" spans="2:22" x14ac:dyDescent="0.25">
      <c r="B16" s="11" t="s">
        <v>65</v>
      </c>
      <c r="C16" s="16">
        <f ca="1">COUNTIFS(Energi!$M:$M,$B16,Energi!$K:$K,C$12)</f>
        <v>0</v>
      </c>
      <c r="D16" s="17">
        <f ca="1">COUNTIFS(Energi!$M:$M,$B16,Energi!$K:$K,D$12)</f>
        <v>0</v>
      </c>
      <c r="E16" s="17">
        <f ca="1">COUNTIFS(Energi!$M:$M,$B16,Energi!$K:$K,E$12)</f>
        <v>0</v>
      </c>
      <c r="F16" s="17">
        <f ca="1">COUNTIFS(Energi!$M:$M,$B16,Energi!$K:$K,F$12)</f>
        <v>0</v>
      </c>
      <c r="G16" s="17">
        <f ca="1">COUNTIFS(Energi!$M:$M,$B16,Energi!$K:$K,G$12)</f>
        <v>0</v>
      </c>
      <c r="H16" s="17">
        <f ca="1">COUNTIFS(Energi!$M:$M,$B16,Energi!$K:$K,H$12)</f>
        <v>0</v>
      </c>
      <c r="I16" s="17">
        <f ca="1">COUNTIFS(Energi!$M:$M,$B16,Energi!$K:$K,I$12)</f>
        <v>0</v>
      </c>
      <c r="J16" s="18">
        <f ca="1">COUNTIFS(Energi!$M:$M,$B16)-SUM(C16:I16)</f>
        <v>0</v>
      </c>
      <c r="K16" s="15">
        <f t="shared" ca="1" si="6"/>
        <v>0</v>
      </c>
      <c r="M16" s="11" t="s">
        <v>65</v>
      </c>
      <c r="N16" s="16">
        <f ca="1">COUNTIFS(Energi!$M:$M,$M16,Energi!$K:$K,N$12,Energi!$X:$X,$N$1)</f>
        <v>0</v>
      </c>
      <c r="O16" s="17">
        <f ca="1">COUNTIFS(Energi!$M:$M,$M16,Energi!$K:$K,O$12,Energi!$X:$X,$N$1)</f>
        <v>0</v>
      </c>
      <c r="P16" s="17">
        <f ca="1">COUNTIFS(Energi!$M:$M,$M16,Energi!$K:$K,P$12,Energi!$X:$X,$N$1)</f>
        <v>0</v>
      </c>
      <c r="Q16" s="17">
        <f ca="1">COUNTIFS(Energi!$M:$M,$M16,Energi!$K:$K,Q$12,Energi!$X:$X,$N$1)</f>
        <v>0</v>
      </c>
      <c r="R16" s="17">
        <f ca="1">COUNTIFS(Energi!$M:$M,$M16,Energi!$K:$K,R$12,Energi!$X:$X,$N$1)</f>
        <v>0</v>
      </c>
      <c r="S16" s="17">
        <f ca="1">COUNTIFS(Energi!$M:$M,$M16,Energi!$K:$K,S$12,Energi!$X:$X,$N$1)</f>
        <v>0</v>
      </c>
      <c r="T16" s="17">
        <f ca="1">COUNTIFS(Energi!$M:$M,$M16,Energi!$K:$K,T$12,Energi!$X:$X,$N$1)</f>
        <v>0</v>
      </c>
      <c r="U16" s="18">
        <f ca="1">COUNTIFS(Energi!$M:$M,$M16,Energi!$K:$K,U$12,Energi!$X:$X,$N$1)</f>
        <v>0</v>
      </c>
      <c r="V16" s="15">
        <f t="shared" ca="1" si="7"/>
        <v>0</v>
      </c>
    </row>
    <row r="17" spans="2:22" x14ac:dyDescent="0.25">
      <c r="B17" s="11" t="s">
        <v>66</v>
      </c>
      <c r="C17" s="16">
        <f ca="1">COUNTIFS(Energi!$M:$M,$B17,Energi!$K:$K,C$12)</f>
        <v>0</v>
      </c>
      <c r="D17" s="17">
        <f ca="1">COUNTIFS(Energi!$M:$M,$B17,Energi!$K:$K,D$12)</f>
        <v>0</v>
      </c>
      <c r="E17" s="17">
        <f ca="1">COUNTIFS(Energi!$M:$M,$B17,Energi!$K:$K,E$12)</f>
        <v>0</v>
      </c>
      <c r="F17" s="17">
        <f ca="1">COUNTIFS(Energi!$M:$M,$B17,Energi!$K:$K,F$12)</f>
        <v>0</v>
      </c>
      <c r="G17" s="17">
        <f ca="1">COUNTIFS(Energi!$M:$M,$B17,Energi!$K:$K,G$12)</f>
        <v>0</v>
      </c>
      <c r="H17" s="17">
        <f ca="1">COUNTIFS(Energi!$M:$M,$B17,Energi!$K:$K,H$12)</f>
        <v>0</v>
      </c>
      <c r="I17" s="17">
        <f ca="1">COUNTIFS(Energi!$M:$M,$B17,Energi!$K:$K,I$12)</f>
        <v>0</v>
      </c>
      <c r="J17" s="18">
        <f ca="1">COUNTIFS(Energi!$M:$M,$B17)-SUM(C17:I17)</f>
        <v>0</v>
      </c>
      <c r="K17" s="15">
        <f t="shared" ca="1" si="6"/>
        <v>0</v>
      </c>
      <c r="M17" s="11" t="s">
        <v>66</v>
      </c>
      <c r="N17" s="16">
        <f ca="1">COUNTIFS(Energi!$M:$M,$M17,Energi!$K:$K,N$12,Energi!$X:$X,$N$1)</f>
        <v>0</v>
      </c>
      <c r="O17" s="17">
        <f ca="1">COUNTIFS(Energi!$M:$M,$M17,Energi!$K:$K,O$12,Energi!$X:$X,$N$1)</f>
        <v>0</v>
      </c>
      <c r="P17" s="17">
        <f ca="1">COUNTIFS(Energi!$M:$M,$M17,Energi!$K:$K,P$12,Energi!$X:$X,$N$1)</f>
        <v>0</v>
      </c>
      <c r="Q17" s="17">
        <f ca="1">COUNTIFS(Energi!$M:$M,$M17,Energi!$K:$K,Q$12,Energi!$X:$X,$N$1)</f>
        <v>0</v>
      </c>
      <c r="R17" s="17">
        <f ca="1">COUNTIFS(Energi!$M:$M,$M17,Energi!$K:$K,R$12,Energi!$X:$X,$N$1)</f>
        <v>0</v>
      </c>
      <c r="S17" s="17">
        <f ca="1">COUNTIFS(Energi!$M:$M,$M17,Energi!$K:$K,S$12,Energi!$X:$X,$N$1)</f>
        <v>0</v>
      </c>
      <c r="T17" s="17">
        <f ca="1">COUNTIFS(Energi!$M:$M,$M17,Energi!$K:$K,T$12,Energi!$X:$X,$N$1)</f>
        <v>0</v>
      </c>
      <c r="U17" s="18">
        <f ca="1">COUNTIFS(Energi!$M:$M,$M17,Energi!$K:$K,U$12,Energi!$X:$X,$N$1)</f>
        <v>0</v>
      </c>
      <c r="V17" s="15">
        <f t="shared" ca="1" si="7"/>
        <v>0</v>
      </c>
    </row>
    <row r="18" spans="2:22" x14ac:dyDescent="0.25">
      <c r="B18" s="11" t="s">
        <v>67</v>
      </c>
      <c r="C18" s="16">
        <f ca="1">COUNTIFS(Energi!$M:$M,$B18,Energi!$K:$K,C$12)</f>
        <v>0</v>
      </c>
      <c r="D18" s="17">
        <f ca="1">COUNTIFS(Energi!$M:$M,$B18,Energi!$K:$K,D$12)</f>
        <v>0</v>
      </c>
      <c r="E18" s="17">
        <f ca="1">COUNTIFS(Energi!$M:$M,$B18,Energi!$K:$K,E$12)</f>
        <v>0</v>
      </c>
      <c r="F18" s="17">
        <f ca="1">COUNTIFS(Energi!$M:$M,$B18,Energi!$K:$K,F$12)</f>
        <v>0</v>
      </c>
      <c r="G18" s="17">
        <f ca="1">COUNTIFS(Energi!$M:$M,$B18,Energi!$K:$K,G$12)</f>
        <v>0</v>
      </c>
      <c r="H18" s="17">
        <f ca="1">COUNTIFS(Energi!$M:$M,$B18,Energi!$K:$K,H$12)</f>
        <v>0</v>
      </c>
      <c r="I18" s="17">
        <f ca="1">COUNTIFS(Energi!$M:$M,$B18,Energi!$K:$K,I$12)</f>
        <v>0</v>
      </c>
      <c r="J18" s="18">
        <f ca="1">COUNTIFS(Energi!$M:$M,$B18)-SUM(C18:I18)</f>
        <v>0</v>
      </c>
      <c r="K18" s="15">
        <f t="shared" ca="1" si="6"/>
        <v>0</v>
      </c>
      <c r="M18" s="11" t="s">
        <v>67</v>
      </c>
      <c r="N18" s="16">
        <f ca="1">COUNTIFS(Energi!$M:$M,$M18,Energi!$K:$K,N$12,Energi!$X:$X,$N$1)</f>
        <v>0</v>
      </c>
      <c r="O18" s="17">
        <f ca="1">COUNTIFS(Energi!$M:$M,$M18,Energi!$K:$K,O$12,Energi!$X:$X,$N$1)</f>
        <v>0</v>
      </c>
      <c r="P18" s="17">
        <f ca="1">COUNTIFS(Energi!$M:$M,$M18,Energi!$K:$K,P$12,Energi!$X:$X,$N$1)</f>
        <v>0</v>
      </c>
      <c r="Q18" s="17">
        <f ca="1">COUNTIFS(Energi!$M:$M,$M18,Energi!$K:$K,Q$12,Energi!$X:$X,$N$1)</f>
        <v>0</v>
      </c>
      <c r="R18" s="17">
        <f ca="1">COUNTIFS(Energi!$M:$M,$M18,Energi!$K:$K,R$12,Energi!$X:$X,$N$1)</f>
        <v>0</v>
      </c>
      <c r="S18" s="17">
        <f ca="1">COUNTIFS(Energi!$M:$M,$M18,Energi!$K:$K,S$12,Energi!$X:$X,$N$1)</f>
        <v>0</v>
      </c>
      <c r="T18" s="17">
        <f ca="1">COUNTIFS(Energi!$M:$M,$M18,Energi!$K:$K,T$12,Energi!$X:$X,$N$1)</f>
        <v>0</v>
      </c>
      <c r="U18" s="18">
        <f ca="1">COUNTIFS(Energi!$M:$M,$M18,Energi!$K:$K,U$12,Energi!$X:$X,$N$1)</f>
        <v>0</v>
      </c>
      <c r="V18" s="15">
        <f t="shared" ca="1" si="7"/>
        <v>0</v>
      </c>
    </row>
    <row r="19" spans="2:22" x14ac:dyDescent="0.25">
      <c r="B19" s="11" t="s">
        <v>70</v>
      </c>
      <c r="C19" s="16">
        <f ca="1">COUNTIFS(Energi!$M:$M,$B19,Energi!$K:$K,C$12)</f>
        <v>0</v>
      </c>
      <c r="D19" s="17">
        <f ca="1">COUNTIFS(Energi!$M:$M,$B19,Energi!$K:$K,D$12)</f>
        <v>0</v>
      </c>
      <c r="E19" s="17">
        <f ca="1">COUNTIFS(Energi!$M:$M,$B19,Energi!$K:$K,E$12)</f>
        <v>0</v>
      </c>
      <c r="F19" s="17">
        <f ca="1">COUNTIFS(Energi!$M:$M,$B19,Energi!$K:$K,F$12)</f>
        <v>0</v>
      </c>
      <c r="G19" s="17">
        <f ca="1">COUNTIFS(Energi!$M:$M,$B19,Energi!$K:$K,G$12)</f>
        <v>0</v>
      </c>
      <c r="H19" s="17">
        <f ca="1">COUNTIFS(Energi!$M:$M,$B19,Energi!$K:$K,H$12)</f>
        <v>0</v>
      </c>
      <c r="I19" s="17">
        <f ca="1">COUNTIFS(Energi!$M:$M,$B19,Energi!$K:$K,I$12)</f>
        <v>0</v>
      </c>
      <c r="J19" s="18">
        <f ca="1">COUNTIFS(Energi!$M:$M,$B19)-SUM(C19:I19)</f>
        <v>0</v>
      </c>
      <c r="K19" s="15">
        <f t="shared" ca="1" si="6"/>
        <v>0</v>
      </c>
      <c r="M19" s="11" t="s">
        <v>70</v>
      </c>
      <c r="N19" s="16">
        <f ca="1">COUNTIFS(Energi!$M:$M,$M19,Energi!$K:$K,N$12,Energi!$X:$X,$N$1)</f>
        <v>0</v>
      </c>
      <c r="O19" s="17">
        <f ca="1">COUNTIFS(Energi!$M:$M,$M19,Energi!$K:$K,O$12,Energi!$X:$X,$N$1)</f>
        <v>0</v>
      </c>
      <c r="P19" s="17">
        <f ca="1">COUNTIFS(Energi!$M:$M,$M19,Energi!$K:$K,P$12,Energi!$X:$X,$N$1)</f>
        <v>0</v>
      </c>
      <c r="Q19" s="17">
        <f ca="1">COUNTIFS(Energi!$M:$M,$M19,Energi!$K:$K,Q$12,Energi!$X:$X,$N$1)</f>
        <v>0</v>
      </c>
      <c r="R19" s="17">
        <f ca="1">COUNTIFS(Energi!$M:$M,$M19,Energi!$K:$K,R$12,Energi!$X:$X,$N$1)</f>
        <v>0</v>
      </c>
      <c r="S19" s="17">
        <f ca="1">COUNTIFS(Energi!$M:$M,$M19,Energi!$K:$K,S$12,Energi!$X:$X,$N$1)</f>
        <v>0</v>
      </c>
      <c r="T19" s="17">
        <f ca="1">COUNTIFS(Energi!$M:$M,$M19,Energi!$K:$K,T$12,Energi!$X:$X,$N$1)</f>
        <v>0</v>
      </c>
      <c r="U19" s="18">
        <f ca="1">COUNTIFS(Energi!$M:$M,$M19,Energi!$K:$K,U$12,Energi!$X:$X,$N$1)</f>
        <v>0</v>
      </c>
      <c r="V19" s="15">
        <f t="shared" ca="1" si="7"/>
        <v>0</v>
      </c>
    </row>
    <row r="20" spans="2:22" x14ac:dyDescent="0.25">
      <c r="B20" s="11" t="s">
        <v>41</v>
      </c>
      <c r="C20" s="16">
        <f ca="1">COUNTIFS(Energi!$M:$M,$B20,Energi!$K:$K,C$12)</f>
        <v>0</v>
      </c>
      <c r="D20" s="17">
        <f ca="1">COUNTIFS(Energi!$M:$M,$B20,Energi!$K:$K,D$12)</f>
        <v>0</v>
      </c>
      <c r="E20" s="17">
        <f ca="1">COUNTIFS(Energi!$M:$M,$B20,Energi!$K:$K,E$12)</f>
        <v>0</v>
      </c>
      <c r="F20" s="17">
        <f ca="1">COUNTIFS(Energi!$M:$M,$B20,Energi!$K:$K,F$12)</f>
        <v>0</v>
      </c>
      <c r="G20" s="17">
        <f ca="1">COUNTIFS(Energi!$M:$M,$B20,Energi!$K:$K,G$12)</f>
        <v>0</v>
      </c>
      <c r="H20" s="17">
        <f ca="1">COUNTIFS(Energi!$M:$M,$B20,Energi!$K:$K,H$12)</f>
        <v>0</v>
      </c>
      <c r="I20" s="17">
        <f ca="1">COUNTIFS(Energi!$M:$M,$B20,Energi!$K:$K,I$12)</f>
        <v>0</v>
      </c>
      <c r="J20" s="18">
        <f ca="1">COUNTIFS(Energi!$M:$M,$B20)-SUM(C20:I20)</f>
        <v>0</v>
      </c>
      <c r="K20" s="15">
        <f t="shared" ca="1" si="6"/>
        <v>0</v>
      </c>
      <c r="M20" s="11" t="s">
        <v>41</v>
      </c>
      <c r="N20" s="16">
        <f ca="1">COUNTIFS(Energi!$M:$M,$M20,Energi!$K:$K,N$12,Energi!$X:$X,$N$1)</f>
        <v>0</v>
      </c>
      <c r="O20" s="17">
        <f ca="1">COUNTIFS(Energi!$M:$M,$M20,Energi!$K:$K,O$12,Energi!$X:$X,$N$1)</f>
        <v>0</v>
      </c>
      <c r="P20" s="17">
        <f ca="1">COUNTIFS(Energi!$M:$M,$M20,Energi!$K:$K,P$12,Energi!$X:$X,$N$1)</f>
        <v>0</v>
      </c>
      <c r="Q20" s="17">
        <f ca="1">COUNTIFS(Energi!$M:$M,$M20,Energi!$K:$K,Q$12,Energi!$X:$X,$N$1)</f>
        <v>0</v>
      </c>
      <c r="R20" s="17">
        <f ca="1">COUNTIFS(Energi!$M:$M,$M20,Energi!$K:$K,R$12,Energi!$X:$X,$N$1)</f>
        <v>0</v>
      </c>
      <c r="S20" s="17">
        <f ca="1">COUNTIFS(Energi!$M:$M,$M20,Energi!$K:$K,S$12,Energi!$X:$X,$N$1)</f>
        <v>0</v>
      </c>
      <c r="T20" s="17">
        <f ca="1">COUNTIFS(Energi!$M:$M,$M20,Energi!$K:$K,T$12,Energi!$X:$X,$N$1)</f>
        <v>0</v>
      </c>
      <c r="U20" s="18">
        <f ca="1">COUNTIFS(Energi!$M:$M,$M20,Energi!$K:$K,U$12,Energi!$X:$X,$N$1)</f>
        <v>0</v>
      </c>
      <c r="V20" s="15">
        <f t="shared" ca="1" si="7"/>
        <v>0</v>
      </c>
    </row>
    <row r="21" spans="2:22" x14ac:dyDescent="0.25">
      <c r="B21" s="11" t="s">
        <v>42</v>
      </c>
      <c r="C21" s="16">
        <f ca="1">COUNTIFS(Energi!$M:$M,$B21,Energi!$K:$K,C$12)</f>
        <v>0</v>
      </c>
      <c r="D21" s="17">
        <f ca="1">COUNTIFS(Energi!$M:$M,$B21,Energi!$K:$K,D$12)</f>
        <v>0</v>
      </c>
      <c r="E21" s="17">
        <f ca="1">COUNTIFS(Energi!$M:$M,$B21,Energi!$K:$K,E$12)</f>
        <v>0</v>
      </c>
      <c r="F21" s="17">
        <f ca="1">COUNTIFS(Energi!$M:$M,$B21,Energi!$K:$K,F$12)</f>
        <v>0</v>
      </c>
      <c r="G21" s="17">
        <f ca="1">COUNTIFS(Energi!$M:$M,$B21,Energi!$K:$K,G$12)</f>
        <v>0</v>
      </c>
      <c r="H21" s="17">
        <f ca="1">COUNTIFS(Energi!$M:$M,$B21,Energi!$K:$K,H$12)</f>
        <v>0</v>
      </c>
      <c r="I21" s="17">
        <f ca="1">COUNTIFS(Energi!$M:$M,$B21,Energi!$K:$K,I$12)</f>
        <v>0</v>
      </c>
      <c r="J21" s="18">
        <f ca="1">COUNTIFS(Energi!$M:$M,$B21)-SUM(C21:I21)</f>
        <v>0</v>
      </c>
      <c r="K21" s="15">
        <f t="shared" ca="1" si="6"/>
        <v>0</v>
      </c>
      <c r="M21" s="11" t="s">
        <v>42</v>
      </c>
      <c r="N21" s="16">
        <f ca="1">COUNTIFS(Energi!$M:$M,$M21,Energi!$K:$K,N$12,Energi!$X:$X,$N$1)</f>
        <v>0</v>
      </c>
      <c r="O21" s="17">
        <f ca="1">COUNTIFS(Energi!$M:$M,$M21,Energi!$K:$K,O$12,Energi!$X:$X,$N$1)</f>
        <v>0</v>
      </c>
      <c r="P21" s="17">
        <f ca="1">COUNTIFS(Energi!$M:$M,$M21,Energi!$K:$K,P$12,Energi!$X:$X,$N$1)</f>
        <v>0</v>
      </c>
      <c r="Q21" s="17">
        <f ca="1">COUNTIFS(Energi!$M:$M,$M21,Energi!$K:$K,Q$12,Energi!$X:$X,$N$1)</f>
        <v>0</v>
      </c>
      <c r="R21" s="17">
        <f ca="1">COUNTIFS(Energi!$M:$M,$M21,Energi!$K:$K,R$12,Energi!$X:$X,$N$1)</f>
        <v>0</v>
      </c>
      <c r="S21" s="17">
        <f ca="1">COUNTIFS(Energi!$M:$M,$M21,Energi!$K:$K,S$12,Energi!$X:$X,$N$1)</f>
        <v>0</v>
      </c>
      <c r="T21" s="17">
        <f ca="1">COUNTIFS(Energi!$M:$M,$M21,Energi!$K:$K,T$12,Energi!$X:$X,$N$1)</f>
        <v>0</v>
      </c>
      <c r="U21" s="18">
        <f ca="1">COUNTIFS(Energi!$M:$M,$M21,Energi!$K:$K,U$12,Energi!$X:$X,$N$1)</f>
        <v>0</v>
      </c>
      <c r="V21" s="15">
        <f t="shared" ca="1" si="7"/>
        <v>0</v>
      </c>
    </row>
    <row r="22" spans="2:22" x14ac:dyDescent="0.25">
      <c r="B22" s="11" t="s">
        <v>43</v>
      </c>
      <c r="C22" s="16">
        <f ca="1">COUNTIFS(Energi!$M:$M,$B22,Energi!$K:$K,C$12)</f>
        <v>0</v>
      </c>
      <c r="D22" s="17">
        <f ca="1">COUNTIFS(Energi!$M:$M,$B22,Energi!$K:$K,D$12)</f>
        <v>0</v>
      </c>
      <c r="E22" s="17">
        <f ca="1">COUNTIFS(Energi!$M:$M,$B22,Energi!$K:$K,E$12)</f>
        <v>0</v>
      </c>
      <c r="F22" s="17">
        <f ca="1">COUNTIFS(Energi!$M:$M,$B22,Energi!$K:$K,F$12)</f>
        <v>0</v>
      </c>
      <c r="G22" s="17">
        <f ca="1">COUNTIFS(Energi!$M:$M,$B22,Energi!$K:$K,G$12)</f>
        <v>0</v>
      </c>
      <c r="H22" s="17">
        <f ca="1">COUNTIFS(Energi!$M:$M,$B22,Energi!$K:$K,H$12)</f>
        <v>0</v>
      </c>
      <c r="I22" s="17">
        <f ca="1">COUNTIFS(Energi!$M:$M,$B22,Energi!$K:$K,I$12)</f>
        <v>0</v>
      </c>
      <c r="J22" s="18">
        <f ca="1">COUNTIFS(Energi!$M:$M,$B22)-SUM(C22:I22)</f>
        <v>0</v>
      </c>
      <c r="K22" s="15">
        <f t="shared" ca="1" si="6"/>
        <v>0</v>
      </c>
      <c r="M22" s="11" t="s">
        <v>43</v>
      </c>
      <c r="N22" s="16">
        <f ca="1">COUNTIFS(Energi!$M:$M,$M22,Energi!$K:$K,N$12,Energi!$X:$X,$N$1)</f>
        <v>0</v>
      </c>
      <c r="O22" s="17">
        <f ca="1">COUNTIFS(Energi!$M:$M,$M22,Energi!$K:$K,O$12,Energi!$X:$X,$N$1)</f>
        <v>0</v>
      </c>
      <c r="P22" s="17">
        <f ca="1">COUNTIFS(Energi!$M:$M,$M22,Energi!$K:$K,P$12,Energi!$X:$X,$N$1)</f>
        <v>0</v>
      </c>
      <c r="Q22" s="17">
        <f ca="1">COUNTIFS(Energi!$M:$M,$M22,Energi!$K:$K,Q$12,Energi!$X:$X,$N$1)</f>
        <v>0</v>
      </c>
      <c r="R22" s="17">
        <f ca="1">COUNTIFS(Energi!$M:$M,$M22,Energi!$K:$K,R$12,Energi!$X:$X,$N$1)</f>
        <v>0</v>
      </c>
      <c r="S22" s="17">
        <f ca="1">COUNTIFS(Energi!$M:$M,$M22,Energi!$K:$K,S$12,Energi!$X:$X,$N$1)</f>
        <v>0</v>
      </c>
      <c r="T22" s="17">
        <f ca="1">COUNTIFS(Energi!$M:$M,$M22,Energi!$K:$K,T$12,Energi!$X:$X,$N$1)</f>
        <v>0</v>
      </c>
      <c r="U22" s="18">
        <f ca="1">COUNTIFS(Energi!$M:$M,$M22,Energi!$K:$K,U$12,Energi!$X:$X,$N$1)</f>
        <v>0</v>
      </c>
      <c r="V22" s="15">
        <f t="shared" ca="1" si="7"/>
        <v>0</v>
      </c>
    </row>
    <row r="23" spans="2:22" x14ac:dyDescent="0.25">
      <c r="B23" s="11" t="s">
        <v>44</v>
      </c>
      <c r="C23" s="16">
        <f ca="1">COUNTIFS(Energi!$M:$M,$B23,Energi!$K:$K,C$12)</f>
        <v>0</v>
      </c>
      <c r="D23" s="17">
        <f ca="1">COUNTIFS(Energi!$M:$M,$B23,Energi!$K:$K,D$12)</f>
        <v>0</v>
      </c>
      <c r="E23" s="17">
        <f ca="1">COUNTIFS(Energi!$M:$M,$B23,Energi!$K:$K,E$12)</f>
        <v>0</v>
      </c>
      <c r="F23" s="17">
        <f ca="1">COUNTIFS(Energi!$M:$M,$B23,Energi!$K:$K,F$12)</f>
        <v>0</v>
      </c>
      <c r="G23" s="17">
        <f ca="1">COUNTIFS(Energi!$M:$M,$B23,Energi!$K:$K,G$12)</f>
        <v>0</v>
      </c>
      <c r="H23" s="17">
        <f ca="1">COUNTIFS(Energi!$M:$M,$B23,Energi!$K:$K,H$12)</f>
        <v>0</v>
      </c>
      <c r="I23" s="17">
        <f ca="1">COUNTIFS(Energi!$M:$M,$B23,Energi!$K:$K,I$12)</f>
        <v>0</v>
      </c>
      <c r="J23" s="18">
        <f ca="1">COUNTIFS(Energi!$M:$M,$B23)-SUM(C23:I23)</f>
        <v>0</v>
      </c>
      <c r="K23" s="15">
        <f t="shared" ca="1" si="6"/>
        <v>0</v>
      </c>
      <c r="M23" s="11" t="s">
        <v>44</v>
      </c>
      <c r="N23" s="16">
        <f ca="1">COUNTIFS(Energi!$M:$M,$M23,Energi!$K:$K,N$12,Energi!$X:$X,$N$1)</f>
        <v>0</v>
      </c>
      <c r="O23" s="17">
        <f ca="1">COUNTIFS(Energi!$M:$M,$M23,Energi!$K:$K,O$12,Energi!$X:$X,$N$1)</f>
        <v>0</v>
      </c>
      <c r="P23" s="17">
        <f ca="1">COUNTIFS(Energi!$M:$M,$M23,Energi!$K:$K,P$12,Energi!$X:$X,$N$1)</f>
        <v>0</v>
      </c>
      <c r="Q23" s="17">
        <f ca="1">COUNTIFS(Energi!$M:$M,$M23,Energi!$K:$K,Q$12,Energi!$X:$X,$N$1)</f>
        <v>0</v>
      </c>
      <c r="R23" s="17">
        <f ca="1">COUNTIFS(Energi!$M:$M,$M23,Energi!$K:$K,R$12,Energi!$X:$X,$N$1)</f>
        <v>0</v>
      </c>
      <c r="S23" s="17">
        <f ca="1">COUNTIFS(Energi!$M:$M,$M23,Energi!$K:$K,S$12,Energi!$X:$X,$N$1)</f>
        <v>0</v>
      </c>
      <c r="T23" s="17">
        <f ca="1">COUNTIFS(Energi!$M:$M,$M23,Energi!$K:$K,T$12,Energi!$X:$X,$N$1)</f>
        <v>0</v>
      </c>
      <c r="U23" s="18">
        <f ca="1">COUNTIFS(Energi!$M:$M,$M23,Energi!$K:$K,U$12,Energi!$X:$X,$N$1)</f>
        <v>0</v>
      </c>
      <c r="V23" s="15">
        <f t="shared" ca="1" si="7"/>
        <v>0</v>
      </c>
    </row>
    <row r="24" spans="2:22" x14ac:dyDescent="0.25">
      <c r="B24" s="11" t="s">
        <v>45</v>
      </c>
      <c r="C24" s="16">
        <f ca="1">COUNTIFS(Energi!$M:$M,$B24,Energi!$K:$K,C$12)</f>
        <v>0</v>
      </c>
      <c r="D24" s="17">
        <f ca="1">COUNTIFS(Energi!$M:$M,$B24,Energi!$K:$K,D$12)</f>
        <v>0</v>
      </c>
      <c r="E24" s="17">
        <f ca="1">COUNTIFS(Energi!$M:$M,$B24,Energi!$K:$K,E$12)</f>
        <v>0</v>
      </c>
      <c r="F24" s="17">
        <f ca="1">COUNTIFS(Energi!$M:$M,$B24,Energi!$K:$K,F$12)</f>
        <v>0</v>
      </c>
      <c r="G24" s="17">
        <f ca="1">COUNTIFS(Energi!$M:$M,$B24,Energi!$K:$K,G$12)</f>
        <v>0</v>
      </c>
      <c r="H24" s="17">
        <f ca="1">COUNTIFS(Energi!$M:$M,$B24,Energi!$K:$K,H$12)</f>
        <v>0</v>
      </c>
      <c r="I24" s="17">
        <f ca="1">COUNTIFS(Energi!$M:$M,$B24,Energi!$K:$K,I$12)</f>
        <v>0</v>
      </c>
      <c r="J24" s="18">
        <f ca="1">COUNTIFS(Energi!$M:$M,$B24)-SUM(C24:I24)</f>
        <v>0</v>
      </c>
      <c r="K24" s="15">
        <f t="shared" ca="1" si="6"/>
        <v>0</v>
      </c>
      <c r="M24" s="11" t="s">
        <v>45</v>
      </c>
      <c r="N24" s="16">
        <f ca="1">COUNTIFS(Energi!$M:$M,$M24,Energi!$K:$K,N$12,Energi!$X:$X,$N$1)</f>
        <v>0</v>
      </c>
      <c r="O24" s="17">
        <f ca="1">COUNTIFS(Energi!$M:$M,$M24,Energi!$K:$K,O$12,Energi!$X:$X,$N$1)</f>
        <v>0</v>
      </c>
      <c r="P24" s="17">
        <f ca="1">COUNTIFS(Energi!$M:$M,$M24,Energi!$K:$K,P$12,Energi!$X:$X,$N$1)</f>
        <v>0</v>
      </c>
      <c r="Q24" s="17">
        <f ca="1">COUNTIFS(Energi!$M:$M,$M24,Energi!$K:$K,Q$12,Energi!$X:$X,$N$1)</f>
        <v>0</v>
      </c>
      <c r="R24" s="17">
        <f ca="1">COUNTIFS(Energi!$M:$M,$M24,Energi!$K:$K,R$12,Energi!$X:$X,$N$1)</f>
        <v>0</v>
      </c>
      <c r="S24" s="17">
        <f ca="1">COUNTIFS(Energi!$M:$M,$M24,Energi!$K:$K,S$12,Energi!$X:$X,$N$1)</f>
        <v>0</v>
      </c>
      <c r="T24" s="17">
        <f ca="1">COUNTIFS(Energi!$M:$M,$M24,Energi!$K:$K,T$12,Energi!$X:$X,$N$1)</f>
        <v>0</v>
      </c>
      <c r="U24" s="18">
        <f ca="1">COUNTIFS(Energi!$M:$M,$M24,Energi!$K:$K,U$12,Energi!$X:$X,$N$1)</f>
        <v>0</v>
      </c>
      <c r="V24" s="15">
        <f t="shared" ca="1" si="7"/>
        <v>0</v>
      </c>
    </row>
    <row r="25" spans="2:22" x14ac:dyDescent="0.25">
      <c r="B25" s="11" t="s">
        <v>103</v>
      </c>
      <c r="C25" s="16">
        <f ca="1">COUNTIFS(Energi!$M:$M,$B25,Energi!$K:$K,C$12)</f>
        <v>0</v>
      </c>
      <c r="D25" s="17">
        <f ca="1">COUNTIFS(Energi!$M:$M,$B25,Energi!$K:$K,D$12)</f>
        <v>0</v>
      </c>
      <c r="E25" s="17">
        <f ca="1">COUNTIFS(Energi!$M:$M,$B25,Energi!$K:$K,E$12)</f>
        <v>0</v>
      </c>
      <c r="F25" s="17">
        <f ca="1">COUNTIFS(Energi!$M:$M,$B25,Energi!$K:$K,F$12)</f>
        <v>0</v>
      </c>
      <c r="G25" s="17">
        <f ca="1">COUNTIFS(Energi!$M:$M,$B25,Energi!$K:$K,G$12)</f>
        <v>0</v>
      </c>
      <c r="H25" s="17">
        <f ca="1">COUNTIFS(Energi!$M:$M,$B25,Energi!$K:$K,H$12)</f>
        <v>0</v>
      </c>
      <c r="I25" s="17">
        <f ca="1">COUNTIFS(Energi!$M:$M,$B25,Energi!$K:$K,I$12)</f>
        <v>0</v>
      </c>
      <c r="J25" s="18">
        <f ca="1">COUNTIFS(Energi!$M:$M,$B25)-SUM(C25:I25)</f>
        <v>0</v>
      </c>
      <c r="K25" s="15">
        <f t="shared" ca="1" si="6"/>
        <v>0</v>
      </c>
      <c r="M25" s="11" t="s">
        <v>103</v>
      </c>
      <c r="N25" s="16">
        <f ca="1">COUNTIFS(Energi!$M:$M,$M25,Energi!$K:$K,N$12,Energi!$X:$X,$N$1)</f>
        <v>0</v>
      </c>
      <c r="O25" s="17">
        <f ca="1">COUNTIFS(Energi!$M:$M,$M25,Energi!$K:$K,O$12,Energi!$X:$X,$N$1)</f>
        <v>0</v>
      </c>
      <c r="P25" s="17">
        <f ca="1">COUNTIFS(Energi!$M:$M,$M25,Energi!$K:$K,P$12,Energi!$X:$X,$N$1)</f>
        <v>0</v>
      </c>
      <c r="Q25" s="17">
        <f ca="1">COUNTIFS(Energi!$M:$M,$M25,Energi!$K:$K,Q$12,Energi!$X:$X,$N$1)</f>
        <v>0</v>
      </c>
      <c r="R25" s="17">
        <f ca="1">COUNTIFS(Energi!$M:$M,$M25,Energi!$K:$K,R$12,Energi!$X:$X,$N$1)</f>
        <v>0</v>
      </c>
      <c r="S25" s="17">
        <f ca="1">COUNTIFS(Energi!$M:$M,$M25,Energi!$K:$K,S$12,Energi!$X:$X,$N$1)</f>
        <v>0</v>
      </c>
      <c r="T25" s="17">
        <f ca="1">COUNTIFS(Energi!$M:$M,$M25,Energi!$K:$K,T$12,Energi!$X:$X,$N$1)</f>
        <v>0</v>
      </c>
      <c r="U25" s="18">
        <f ca="1">COUNTIFS(Energi!$M:$M,$M25,Energi!$K:$K,U$12,Energi!$X:$X,$N$1)</f>
        <v>0</v>
      </c>
      <c r="V25" s="15">
        <f t="shared" ca="1" si="7"/>
        <v>0</v>
      </c>
    </row>
    <row r="26" spans="2:22" x14ac:dyDescent="0.25">
      <c r="B26" s="11" t="s">
        <v>111</v>
      </c>
      <c r="C26" s="16">
        <f ca="1">COUNTIFS(Energi!$M:$M,$B26,Energi!$K:$K,C$12)</f>
        <v>0</v>
      </c>
      <c r="D26" s="17">
        <f ca="1">COUNTIFS(Energi!$M:$M,$B26,Energi!$K:$K,D$12)</f>
        <v>0</v>
      </c>
      <c r="E26" s="17">
        <f ca="1">COUNTIFS(Energi!$M:$M,$B26,Energi!$K:$K,E$12)</f>
        <v>0</v>
      </c>
      <c r="F26" s="17">
        <f ca="1">COUNTIFS(Energi!$M:$M,$B26,Energi!$K:$K,F$12)</f>
        <v>0</v>
      </c>
      <c r="G26" s="17">
        <f ca="1">COUNTIFS(Energi!$M:$M,$B26,Energi!$K:$K,G$12)</f>
        <v>0</v>
      </c>
      <c r="H26" s="17">
        <f ca="1">COUNTIFS(Energi!$M:$M,$B26,Energi!$K:$K,H$12)</f>
        <v>0</v>
      </c>
      <c r="I26" s="17">
        <f ca="1">COUNTIFS(Energi!$M:$M,$B26,Energi!$K:$K,I$12)</f>
        <v>0</v>
      </c>
      <c r="J26" s="18">
        <f ca="1">COUNTIFS(Energi!$M:$M,$B26)-SUM(C26:I26)</f>
        <v>0</v>
      </c>
      <c r="K26" s="15">
        <f t="shared" ca="1" si="6"/>
        <v>0</v>
      </c>
      <c r="M26" s="11" t="s">
        <v>111</v>
      </c>
      <c r="N26" s="16">
        <f ca="1">COUNTIFS(Energi!$M:$M,$M26,Energi!$K:$K,N$12,Energi!$X:$X,$N$1)</f>
        <v>0</v>
      </c>
      <c r="O26" s="17">
        <f ca="1">COUNTIFS(Energi!$M:$M,$M26,Energi!$K:$K,O$12,Energi!$X:$X,$N$1)</f>
        <v>0</v>
      </c>
      <c r="P26" s="17">
        <f ca="1">COUNTIFS(Energi!$M:$M,$M26,Energi!$K:$K,P$12,Energi!$X:$X,$N$1)</f>
        <v>0</v>
      </c>
      <c r="Q26" s="17">
        <f ca="1">COUNTIFS(Energi!$M:$M,$M26,Energi!$K:$K,Q$12,Energi!$X:$X,$N$1)</f>
        <v>0</v>
      </c>
      <c r="R26" s="17">
        <f ca="1">COUNTIFS(Energi!$M:$M,$M26,Energi!$K:$K,R$12,Energi!$X:$X,$N$1)</f>
        <v>0</v>
      </c>
      <c r="S26" s="17">
        <f ca="1">COUNTIFS(Energi!$M:$M,$M26,Energi!$K:$K,S$12,Energi!$X:$X,$N$1)</f>
        <v>0</v>
      </c>
      <c r="T26" s="17">
        <f ca="1">COUNTIFS(Energi!$M:$M,$M26,Energi!$K:$K,T$12,Energi!$X:$X,$N$1)</f>
        <v>0</v>
      </c>
      <c r="U26" s="18">
        <f ca="1">COUNTIFS(Energi!$M:$M,$M26,Energi!$K:$K,U$12,Energi!$X:$X,$N$1)</f>
        <v>0</v>
      </c>
      <c r="V26" s="15">
        <f t="shared" ca="1" si="7"/>
        <v>0</v>
      </c>
    </row>
    <row r="27" spans="2:22" x14ac:dyDescent="0.25">
      <c r="B27" s="11" t="s">
        <v>118</v>
      </c>
      <c r="C27" s="16">
        <f ca="1">COUNTIFS(Energi!$M:$M,$B27,Energi!$K:$K,C$12)</f>
        <v>0</v>
      </c>
      <c r="D27" s="17">
        <f ca="1">COUNTIFS(Energi!$M:$M,$B27,Energi!$K:$K,D$12)</f>
        <v>0</v>
      </c>
      <c r="E27" s="17">
        <f ca="1">COUNTIFS(Energi!$M:$M,$B27,Energi!$K:$K,E$12)</f>
        <v>0</v>
      </c>
      <c r="F27" s="17">
        <f ca="1">COUNTIFS(Energi!$M:$M,$B27,Energi!$K:$K,F$12)</f>
        <v>0</v>
      </c>
      <c r="G27" s="17">
        <f ca="1">COUNTIFS(Energi!$M:$M,$B27,Energi!$K:$K,G$12)</f>
        <v>0</v>
      </c>
      <c r="H27" s="17">
        <f ca="1">COUNTIFS(Energi!$M:$M,$B27,Energi!$K:$K,H$12)</f>
        <v>0</v>
      </c>
      <c r="I27" s="17">
        <f ca="1">COUNTIFS(Energi!$M:$M,$B27,Energi!$K:$K,I$12)</f>
        <v>0</v>
      </c>
      <c r="J27" s="18">
        <f ca="1">COUNTIFS(Energi!$M:$M,$B27)-SUM(C27:I27)</f>
        <v>0</v>
      </c>
      <c r="K27" s="15">
        <f t="shared" ca="1" si="6"/>
        <v>0</v>
      </c>
      <c r="M27" s="11" t="s">
        <v>118</v>
      </c>
      <c r="N27" s="16">
        <f ca="1">COUNTIFS(Energi!$M:$M,$M27,Energi!$K:$K,N$12,Energi!$X:$X,$N$1)</f>
        <v>0</v>
      </c>
      <c r="O27" s="17">
        <f ca="1">COUNTIFS(Energi!$M:$M,$M27,Energi!$K:$K,O$12,Energi!$X:$X,$N$1)</f>
        <v>0</v>
      </c>
      <c r="P27" s="17">
        <f ca="1">COUNTIFS(Energi!$M:$M,$M27,Energi!$K:$K,P$12,Energi!$X:$X,$N$1)</f>
        <v>0</v>
      </c>
      <c r="Q27" s="17">
        <f ca="1">COUNTIFS(Energi!$M:$M,$M27,Energi!$K:$K,Q$12,Energi!$X:$X,$N$1)</f>
        <v>0</v>
      </c>
      <c r="R27" s="17">
        <f ca="1">COUNTIFS(Energi!$M:$M,$M27,Energi!$K:$K,R$12,Energi!$X:$X,$N$1)</f>
        <v>0</v>
      </c>
      <c r="S27" s="17">
        <f ca="1">COUNTIFS(Energi!$M:$M,$M27,Energi!$K:$K,S$12,Energi!$X:$X,$N$1)</f>
        <v>0</v>
      </c>
      <c r="T27" s="17">
        <f ca="1">COUNTIFS(Energi!$M:$M,$M27,Energi!$K:$K,T$12,Energi!$X:$X,$N$1)</f>
        <v>0</v>
      </c>
      <c r="U27" s="18">
        <f ca="1">COUNTIFS(Energi!$M:$M,$M27,Energi!$K:$K,U$12,Energi!$X:$X,$N$1)</f>
        <v>0</v>
      </c>
      <c r="V27" s="15">
        <f t="shared" ca="1" si="7"/>
        <v>0</v>
      </c>
    </row>
    <row r="28" spans="2:22" x14ac:dyDescent="0.25">
      <c r="B28" s="11" t="s">
        <v>120</v>
      </c>
      <c r="C28" s="16">
        <f ca="1">COUNTIFS(Energi!$M:$M,$B28,Energi!$K:$K,C$12)</f>
        <v>0</v>
      </c>
      <c r="D28" s="17">
        <f ca="1">COUNTIFS(Energi!$M:$M,$B28,Energi!$K:$K,D$12)</f>
        <v>0</v>
      </c>
      <c r="E28" s="17">
        <f ca="1">COUNTIFS(Energi!$M:$M,$B28,Energi!$K:$K,E$12)</f>
        <v>0</v>
      </c>
      <c r="F28" s="17">
        <f ca="1">COUNTIFS(Energi!$M:$M,$B28,Energi!$K:$K,F$12)</f>
        <v>0</v>
      </c>
      <c r="G28" s="17">
        <f ca="1">COUNTIFS(Energi!$M:$M,$B28,Energi!$K:$K,G$12)</f>
        <v>0</v>
      </c>
      <c r="H28" s="17">
        <f ca="1">COUNTIFS(Energi!$M:$M,$B28,Energi!$K:$K,H$12)</f>
        <v>0</v>
      </c>
      <c r="I28" s="17">
        <f ca="1">COUNTIFS(Energi!$M:$M,$B28,Energi!$K:$K,I$12)</f>
        <v>0</v>
      </c>
      <c r="J28" s="18">
        <f ca="1">COUNTIFS(Energi!$M:$M,$B28)-SUM(C28:I28)</f>
        <v>0</v>
      </c>
      <c r="K28" s="15">
        <f t="shared" ca="1" si="6"/>
        <v>0</v>
      </c>
      <c r="M28" s="11" t="s">
        <v>120</v>
      </c>
      <c r="N28" s="16">
        <f ca="1">COUNTIFS(Energi!$M:$M,$M28,Energi!$K:$K,N$12,Energi!$X:$X,$N$1)</f>
        <v>0</v>
      </c>
      <c r="O28" s="17">
        <f ca="1">COUNTIFS(Energi!$M:$M,$M28,Energi!$K:$K,O$12,Energi!$X:$X,$N$1)</f>
        <v>0</v>
      </c>
      <c r="P28" s="17">
        <f ca="1">COUNTIFS(Energi!$M:$M,$M28,Energi!$K:$K,P$12,Energi!$X:$X,$N$1)</f>
        <v>0</v>
      </c>
      <c r="Q28" s="17">
        <f ca="1">COUNTIFS(Energi!$M:$M,$M28,Energi!$K:$K,Q$12,Energi!$X:$X,$N$1)</f>
        <v>0</v>
      </c>
      <c r="R28" s="17">
        <f ca="1">COUNTIFS(Energi!$M:$M,$M28,Energi!$K:$K,R$12,Energi!$X:$X,$N$1)</f>
        <v>0</v>
      </c>
      <c r="S28" s="17">
        <f ca="1">COUNTIFS(Energi!$M:$M,$M28,Energi!$K:$K,S$12,Energi!$X:$X,$N$1)</f>
        <v>0</v>
      </c>
      <c r="T28" s="17">
        <f ca="1">COUNTIFS(Energi!$M:$M,$M28,Energi!$K:$K,T$12,Energi!$X:$X,$N$1)</f>
        <v>0</v>
      </c>
      <c r="U28" s="18">
        <f ca="1">COUNTIFS(Energi!$M:$M,$M28,Energi!$K:$K,U$12,Energi!$X:$X,$N$1)</f>
        <v>0</v>
      </c>
      <c r="V28" s="15">
        <f t="shared" ca="1" si="7"/>
        <v>0</v>
      </c>
    </row>
    <row r="29" spans="2:22" x14ac:dyDescent="0.25">
      <c r="B29" s="11" t="s">
        <v>129</v>
      </c>
      <c r="C29" s="16">
        <f ca="1">COUNTIFS(Energi!$M:$M,$B29,Energi!$K:$K,C$12)</f>
        <v>0</v>
      </c>
      <c r="D29" s="17">
        <f ca="1">COUNTIFS(Energi!$M:$M,$B29,Energi!$K:$K,D$12)</f>
        <v>0</v>
      </c>
      <c r="E29" s="17">
        <f ca="1">COUNTIFS(Energi!$M:$M,$B29,Energi!$K:$K,E$12)</f>
        <v>0</v>
      </c>
      <c r="F29" s="17">
        <f ca="1">COUNTIFS(Energi!$M:$M,$B29,Energi!$K:$K,F$12)</f>
        <v>0</v>
      </c>
      <c r="G29" s="17">
        <f ca="1">COUNTIFS(Energi!$M:$M,$B29,Energi!$K:$K,G$12)</f>
        <v>0</v>
      </c>
      <c r="H29" s="17">
        <f ca="1">COUNTIFS(Energi!$M:$M,$B29,Energi!$K:$K,H$12)</f>
        <v>0</v>
      </c>
      <c r="I29" s="17">
        <f ca="1">COUNTIFS(Energi!$M:$M,$B29,Energi!$K:$K,I$12)</f>
        <v>0</v>
      </c>
      <c r="J29" s="18">
        <f ca="1">COUNTIFS(Energi!$M:$M,$B29)-SUM(C29:I29)</f>
        <v>0</v>
      </c>
      <c r="K29" s="15">
        <f t="shared" ca="1" si="6"/>
        <v>0</v>
      </c>
      <c r="M29" s="11" t="s">
        <v>129</v>
      </c>
      <c r="N29" s="16">
        <f ca="1">COUNTIFS(Energi!$M:$M,$M29,Energi!$K:$K,N$12,Energi!$X:$X,$N$1)</f>
        <v>0</v>
      </c>
      <c r="O29" s="17">
        <f ca="1">COUNTIFS(Energi!$M:$M,$M29,Energi!$K:$K,O$12,Energi!$X:$X,$N$1)</f>
        <v>0</v>
      </c>
      <c r="P29" s="17">
        <f ca="1">COUNTIFS(Energi!$M:$M,$M29,Energi!$K:$K,P$12,Energi!$X:$X,$N$1)</f>
        <v>0</v>
      </c>
      <c r="Q29" s="17">
        <f ca="1">COUNTIFS(Energi!$M:$M,$M29,Energi!$K:$K,Q$12,Energi!$X:$X,$N$1)</f>
        <v>0</v>
      </c>
      <c r="R29" s="17">
        <f ca="1">COUNTIFS(Energi!$M:$M,$M29,Energi!$K:$K,R$12,Energi!$X:$X,$N$1)</f>
        <v>0</v>
      </c>
      <c r="S29" s="17">
        <f ca="1">COUNTIFS(Energi!$M:$M,$M29,Energi!$K:$K,S$12,Energi!$X:$X,$N$1)</f>
        <v>0</v>
      </c>
      <c r="T29" s="17">
        <f ca="1">COUNTIFS(Energi!$M:$M,$M29,Energi!$K:$K,T$12,Energi!$X:$X,$N$1)</f>
        <v>0</v>
      </c>
      <c r="U29" s="18">
        <f ca="1">COUNTIFS(Energi!$M:$M,$M29,Energi!$K:$K,U$12,Energi!$X:$X,$N$1)</f>
        <v>0</v>
      </c>
      <c r="V29" s="15">
        <f t="shared" ca="1" si="7"/>
        <v>0</v>
      </c>
    </row>
    <row r="30" spans="2:22" x14ac:dyDescent="0.25">
      <c r="B30" s="11" t="s">
        <v>134</v>
      </c>
      <c r="C30" s="16">
        <f ca="1">COUNTIFS(Energi!$M:$M,$B30,Energi!$K:$K,C$12)</f>
        <v>0</v>
      </c>
      <c r="D30" s="17">
        <f ca="1">COUNTIFS(Energi!$M:$M,$B30,Energi!$K:$K,D$12)</f>
        <v>0</v>
      </c>
      <c r="E30" s="17">
        <f ca="1">COUNTIFS(Energi!$M:$M,$B30,Energi!$K:$K,E$12)</f>
        <v>0</v>
      </c>
      <c r="F30" s="17">
        <f ca="1">COUNTIFS(Energi!$M:$M,$B30,Energi!$K:$K,F$12)</f>
        <v>0</v>
      </c>
      <c r="G30" s="17">
        <f ca="1">COUNTIFS(Energi!$M:$M,$B30,Energi!$K:$K,G$12)</f>
        <v>0</v>
      </c>
      <c r="H30" s="17">
        <f ca="1">COUNTIFS(Energi!$M:$M,$B30,Energi!$K:$K,H$12)</f>
        <v>0</v>
      </c>
      <c r="I30" s="17">
        <f ca="1">COUNTIFS(Energi!$M:$M,$B30,Energi!$K:$K,I$12)</f>
        <v>0</v>
      </c>
      <c r="J30" s="18">
        <f ca="1">COUNTIFS(Energi!$M:$M,$B30)-SUM(C30:I30)</f>
        <v>0</v>
      </c>
      <c r="K30" s="15">
        <f t="shared" ca="1" si="6"/>
        <v>0</v>
      </c>
      <c r="M30" s="11" t="s">
        <v>134</v>
      </c>
      <c r="N30" s="16">
        <f ca="1">COUNTIFS(Energi!$M:$M,$M30,Energi!$K:$K,N$12,Energi!$X:$X,$N$1)</f>
        <v>0</v>
      </c>
      <c r="O30" s="17">
        <f ca="1">COUNTIFS(Energi!$M:$M,$M30,Energi!$K:$K,O$12,Energi!$X:$X,$N$1)</f>
        <v>0</v>
      </c>
      <c r="P30" s="17">
        <f ca="1">COUNTIFS(Energi!$M:$M,$M30,Energi!$K:$K,P$12,Energi!$X:$X,$N$1)</f>
        <v>0</v>
      </c>
      <c r="Q30" s="17">
        <f ca="1">COUNTIFS(Energi!$M:$M,$M30,Energi!$K:$K,Q$12,Energi!$X:$X,$N$1)</f>
        <v>0</v>
      </c>
      <c r="R30" s="17">
        <f ca="1">COUNTIFS(Energi!$M:$M,$M30,Energi!$K:$K,R$12,Energi!$X:$X,$N$1)</f>
        <v>0</v>
      </c>
      <c r="S30" s="17">
        <f ca="1">COUNTIFS(Energi!$M:$M,$M30,Energi!$K:$K,S$12,Energi!$X:$X,$N$1)</f>
        <v>0</v>
      </c>
      <c r="T30" s="17">
        <f ca="1">COUNTIFS(Energi!$M:$M,$M30,Energi!$K:$K,T$12,Energi!$X:$X,$N$1)</f>
        <v>0</v>
      </c>
      <c r="U30" s="18">
        <f ca="1">COUNTIFS(Energi!$M:$M,$M30,Energi!$K:$K,U$12,Energi!$X:$X,$N$1)</f>
        <v>0</v>
      </c>
      <c r="V30" s="15">
        <f t="shared" ca="1" si="7"/>
        <v>0</v>
      </c>
    </row>
    <row r="31" spans="2:22" x14ac:dyDescent="0.25">
      <c r="B31" s="11" t="s">
        <v>139</v>
      </c>
      <c r="C31" s="16">
        <f ca="1">COUNTIFS(Energi!$M:$M,$B31,Energi!$K:$K,C$12)</f>
        <v>0</v>
      </c>
      <c r="D31" s="17">
        <f ca="1">COUNTIFS(Energi!$M:$M,$B31,Energi!$K:$K,D$12)</f>
        <v>0</v>
      </c>
      <c r="E31" s="17">
        <f ca="1">COUNTIFS(Energi!$M:$M,$B31,Energi!$K:$K,E$12)</f>
        <v>0</v>
      </c>
      <c r="F31" s="17">
        <f ca="1">COUNTIFS(Energi!$M:$M,$B31,Energi!$K:$K,F$12)</f>
        <v>0</v>
      </c>
      <c r="G31" s="17">
        <f ca="1">COUNTIFS(Energi!$M:$M,$B31,Energi!$K:$K,G$12)</f>
        <v>0</v>
      </c>
      <c r="H31" s="17">
        <f ca="1">COUNTIFS(Energi!$M:$M,$B31,Energi!$K:$K,H$12)</f>
        <v>0</v>
      </c>
      <c r="I31" s="17">
        <f ca="1">COUNTIFS(Energi!$M:$M,$B31,Energi!$K:$K,I$12)</f>
        <v>0</v>
      </c>
      <c r="J31" s="18">
        <f ca="1">COUNTIFS(Energi!$M:$M,$B31)-SUM(C31:I31)</f>
        <v>0</v>
      </c>
      <c r="K31" s="15">
        <f t="shared" ca="1" si="6"/>
        <v>0</v>
      </c>
      <c r="M31" s="11" t="s">
        <v>139</v>
      </c>
      <c r="N31" s="16">
        <f ca="1">COUNTIFS(Energi!$M:$M,$M31,Energi!$K:$K,N$12,Energi!$X:$X,$N$1)</f>
        <v>0</v>
      </c>
      <c r="O31" s="17">
        <f ca="1">COUNTIFS(Energi!$M:$M,$M31,Energi!$K:$K,O$12,Energi!$X:$X,$N$1)</f>
        <v>0</v>
      </c>
      <c r="P31" s="17">
        <f ca="1">COUNTIFS(Energi!$M:$M,$M31,Energi!$K:$K,P$12,Energi!$X:$X,$N$1)</f>
        <v>0</v>
      </c>
      <c r="Q31" s="17">
        <f ca="1">COUNTIFS(Energi!$M:$M,$M31,Energi!$K:$K,Q$12,Energi!$X:$X,$N$1)</f>
        <v>0</v>
      </c>
      <c r="R31" s="17">
        <f ca="1">COUNTIFS(Energi!$M:$M,$M31,Energi!$K:$K,R$12,Energi!$X:$X,$N$1)</f>
        <v>0</v>
      </c>
      <c r="S31" s="17">
        <f ca="1">COUNTIFS(Energi!$M:$M,$M31,Energi!$K:$K,S$12,Energi!$X:$X,$N$1)</f>
        <v>0</v>
      </c>
      <c r="T31" s="17">
        <f ca="1">COUNTIFS(Energi!$M:$M,$M31,Energi!$K:$K,T$12,Energi!$X:$X,$N$1)</f>
        <v>0</v>
      </c>
      <c r="U31" s="18">
        <f ca="1">COUNTIFS(Energi!$M:$M,$M31,Energi!$K:$K,U$12,Energi!$X:$X,$N$1)</f>
        <v>0</v>
      </c>
      <c r="V31" s="15">
        <f t="shared" ca="1" si="7"/>
        <v>0</v>
      </c>
    </row>
    <row r="32" spans="2:22" x14ac:dyDescent="0.25">
      <c r="B32" s="11" t="s">
        <v>144</v>
      </c>
      <c r="C32" s="16">
        <f ca="1">COUNTIFS(Energi!$M:$M,$B32,Energi!$K:$K,C$12)</f>
        <v>0</v>
      </c>
      <c r="D32" s="17">
        <f ca="1">COUNTIFS(Energi!$M:$M,$B32,Energi!$K:$K,D$12)</f>
        <v>0</v>
      </c>
      <c r="E32" s="17">
        <f ca="1">COUNTIFS(Energi!$M:$M,$B32,Energi!$K:$K,E$12)</f>
        <v>0</v>
      </c>
      <c r="F32" s="17">
        <f ca="1">COUNTIFS(Energi!$M:$M,$B32,Energi!$K:$K,F$12)</f>
        <v>0</v>
      </c>
      <c r="G32" s="17">
        <f ca="1">COUNTIFS(Energi!$M:$M,$B32,Energi!$K:$K,G$12)</f>
        <v>0</v>
      </c>
      <c r="H32" s="17">
        <f ca="1">COUNTIFS(Energi!$M:$M,$B32,Energi!$K:$K,H$12)</f>
        <v>0</v>
      </c>
      <c r="I32" s="17">
        <f ca="1">COUNTIFS(Energi!$M:$M,$B32,Energi!$K:$K,I$12)</f>
        <v>0</v>
      </c>
      <c r="J32" s="18">
        <f ca="1">COUNTIFS(Energi!$M:$M,$B32)-SUM(C32:I32)</f>
        <v>0</v>
      </c>
      <c r="K32" s="15">
        <f t="shared" ca="1" si="6"/>
        <v>0</v>
      </c>
      <c r="M32" s="11" t="s">
        <v>144</v>
      </c>
      <c r="N32" s="16">
        <f ca="1">COUNTIFS(Energi!$M:$M,$M32,Energi!$K:$K,N$12,Energi!$X:$X,$N$1)</f>
        <v>0</v>
      </c>
      <c r="O32" s="17">
        <f ca="1">COUNTIFS(Energi!$M:$M,$M32,Energi!$K:$K,O$12,Energi!$X:$X,$N$1)</f>
        <v>0</v>
      </c>
      <c r="P32" s="17">
        <f ca="1">COUNTIFS(Energi!$M:$M,$M32,Energi!$K:$K,P$12,Energi!$X:$X,$N$1)</f>
        <v>0</v>
      </c>
      <c r="Q32" s="17">
        <f ca="1">COUNTIFS(Energi!$M:$M,$M32,Energi!$K:$K,Q$12,Energi!$X:$X,$N$1)</f>
        <v>0</v>
      </c>
      <c r="R32" s="17">
        <f ca="1">COUNTIFS(Energi!$M:$M,$M32,Energi!$K:$K,R$12,Energi!$X:$X,$N$1)</f>
        <v>0</v>
      </c>
      <c r="S32" s="17">
        <f ca="1">COUNTIFS(Energi!$M:$M,$M32,Energi!$K:$K,S$12,Energi!$X:$X,$N$1)</f>
        <v>0</v>
      </c>
      <c r="T32" s="17">
        <f ca="1">COUNTIFS(Energi!$M:$M,$M32,Energi!$K:$K,T$12,Energi!$X:$X,$N$1)</f>
        <v>0</v>
      </c>
      <c r="U32" s="18">
        <f ca="1">COUNTIFS(Energi!$M:$M,$M32,Energi!$K:$K,U$12,Energi!$X:$X,$N$1)</f>
        <v>0</v>
      </c>
      <c r="V32" s="15">
        <f t="shared" ca="1" si="7"/>
        <v>0</v>
      </c>
    </row>
    <row r="33" spans="2:22" x14ac:dyDescent="0.25">
      <c r="B33" s="11" t="s">
        <v>145</v>
      </c>
      <c r="C33" s="16">
        <f ca="1">COUNTIFS(Energi!$M:$M,$B33,Energi!$K:$K,C$12)</f>
        <v>0</v>
      </c>
      <c r="D33" s="17">
        <f ca="1">COUNTIFS(Energi!$M:$M,$B33,Energi!$K:$K,D$12)</f>
        <v>0</v>
      </c>
      <c r="E33" s="17">
        <f ca="1">COUNTIFS(Energi!$M:$M,$B33,Energi!$K:$K,E$12)</f>
        <v>0</v>
      </c>
      <c r="F33" s="17">
        <f ca="1">COUNTIFS(Energi!$M:$M,$B33,Energi!$K:$K,F$12)</f>
        <v>0</v>
      </c>
      <c r="G33" s="17">
        <f ca="1">COUNTIFS(Energi!$M:$M,$B33,Energi!$K:$K,G$12)</f>
        <v>0</v>
      </c>
      <c r="H33" s="17">
        <f ca="1">COUNTIFS(Energi!$M:$M,$B33,Energi!$K:$K,H$12)</f>
        <v>0</v>
      </c>
      <c r="I33" s="17">
        <f ca="1">COUNTIFS(Energi!$M:$M,$B33,Energi!$K:$K,I$12)</f>
        <v>0</v>
      </c>
      <c r="J33" s="18">
        <f ca="1">COUNTIFS(Energi!$M:$M,$B33)-SUM(C33:I33)</f>
        <v>0</v>
      </c>
      <c r="K33" s="15">
        <f t="shared" ca="1" si="6"/>
        <v>0</v>
      </c>
      <c r="M33" s="11" t="s">
        <v>145</v>
      </c>
      <c r="N33" s="16">
        <f ca="1">COUNTIFS(Energi!$M:$M,$M33,Energi!$K:$K,N$12,Energi!$X:$X,$N$1)</f>
        <v>0</v>
      </c>
      <c r="O33" s="17">
        <f ca="1">COUNTIFS(Energi!$M:$M,$M33,Energi!$K:$K,O$12,Energi!$X:$X,$N$1)</f>
        <v>0</v>
      </c>
      <c r="P33" s="17">
        <f ca="1">COUNTIFS(Energi!$M:$M,$M33,Energi!$K:$K,P$12,Energi!$X:$X,$N$1)</f>
        <v>0</v>
      </c>
      <c r="Q33" s="17">
        <f ca="1">COUNTIFS(Energi!$M:$M,$M33,Energi!$K:$K,Q$12,Energi!$X:$X,$N$1)</f>
        <v>0</v>
      </c>
      <c r="R33" s="17">
        <f ca="1">COUNTIFS(Energi!$M:$M,$M33,Energi!$K:$K,R$12,Energi!$X:$X,$N$1)</f>
        <v>0</v>
      </c>
      <c r="S33" s="17">
        <f ca="1">COUNTIFS(Energi!$M:$M,$M33,Energi!$K:$K,S$12,Energi!$X:$X,$N$1)</f>
        <v>0</v>
      </c>
      <c r="T33" s="17">
        <f ca="1">COUNTIFS(Energi!$M:$M,$M33,Energi!$K:$K,T$12,Energi!$X:$X,$N$1)</f>
        <v>0</v>
      </c>
      <c r="U33" s="18">
        <f ca="1">COUNTIFS(Energi!$M:$M,$M33,Energi!$K:$K,U$12,Energi!$X:$X,$N$1)</f>
        <v>0</v>
      </c>
      <c r="V33" s="15">
        <f t="shared" ca="1" si="7"/>
        <v>0</v>
      </c>
    </row>
    <row r="34" spans="2:22" x14ac:dyDescent="0.25">
      <c r="B34" s="11" t="s">
        <v>146</v>
      </c>
      <c r="C34" s="16">
        <f ca="1">COUNTIFS(Energi!$M:$M,$B34,Energi!$K:$K,C$12)</f>
        <v>0</v>
      </c>
      <c r="D34" s="17">
        <f ca="1">COUNTIFS(Energi!$M:$M,$B34,Energi!$K:$K,D$12)</f>
        <v>0</v>
      </c>
      <c r="E34" s="17">
        <f ca="1">COUNTIFS(Energi!$M:$M,$B34,Energi!$K:$K,E$12)</f>
        <v>0</v>
      </c>
      <c r="F34" s="17">
        <f ca="1">COUNTIFS(Energi!$M:$M,$B34,Energi!$K:$K,F$12)</f>
        <v>0</v>
      </c>
      <c r="G34" s="17">
        <f ca="1">COUNTIFS(Energi!$M:$M,$B34,Energi!$K:$K,G$12)</f>
        <v>0</v>
      </c>
      <c r="H34" s="17">
        <f ca="1">COUNTIFS(Energi!$M:$M,$B34,Energi!$K:$K,H$12)</f>
        <v>0</v>
      </c>
      <c r="I34" s="17">
        <f ca="1">COUNTIFS(Energi!$M:$M,$B34,Energi!$K:$K,I$12)</f>
        <v>0</v>
      </c>
      <c r="J34" s="18">
        <f ca="1">COUNTIFS(Energi!$M:$M,$B34)-SUM(C34:I34)</f>
        <v>0</v>
      </c>
      <c r="K34" s="15">
        <f t="shared" ca="1" si="6"/>
        <v>0</v>
      </c>
      <c r="M34" s="11" t="s">
        <v>146</v>
      </c>
      <c r="N34" s="16">
        <f ca="1">COUNTIFS(Energi!$M:$M,$M34,Energi!$K:$K,N$12,Energi!$X:$X,$N$1)</f>
        <v>0</v>
      </c>
      <c r="O34" s="17">
        <f ca="1">COUNTIFS(Energi!$M:$M,$M34,Energi!$K:$K,O$12,Energi!$X:$X,$N$1)</f>
        <v>0</v>
      </c>
      <c r="P34" s="17">
        <f ca="1">COUNTIFS(Energi!$M:$M,$M34,Energi!$K:$K,P$12,Energi!$X:$X,$N$1)</f>
        <v>0</v>
      </c>
      <c r="Q34" s="17">
        <f ca="1">COUNTIFS(Energi!$M:$M,$M34,Energi!$K:$K,Q$12,Energi!$X:$X,$N$1)</f>
        <v>0</v>
      </c>
      <c r="R34" s="17">
        <f ca="1">COUNTIFS(Energi!$M:$M,$M34,Energi!$K:$K,R$12,Energi!$X:$X,$N$1)</f>
        <v>0</v>
      </c>
      <c r="S34" s="17">
        <f ca="1">COUNTIFS(Energi!$M:$M,$M34,Energi!$K:$K,S$12,Energi!$X:$X,$N$1)</f>
        <v>0</v>
      </c>
      <c r="T34" s="17">
        <f ca="1">COUNTIFS(Energi!$M:$M,$M34,Energi!$K:$K,T$12,Energi!$X:$X,$N$1)</f>
        <v>0</v>
      </c>
      <c r="U34" s="18">
        <f ca="1">COUNTIFS(Energi!$M:$M,$M34,Energi!$K:$K,U$12,Energi!$X:$X,$N$1)</f>
        <v>0</v>
      </c>
      <c r="V34" s="15">
        <f t="shared" ca="1" si="7"/>
        <v>0</v>
      </c>
    </row>
    <row r="35" spans="2:22" x14ac:dyDescent="0.25">
      <c r="B35" s="11" t="s">
        <v>150</v>
      </c>
      <c r="C35" s="16">
        <f ca="1">COUNTIFS(Energi!$M:$M,$B35,Energi!$K:$K,C$12)</f>
        <v>0</v>
      </c>
      <c r="D35" s="17">
        <f ca="1">COUNTIFS(Energi!$M:$M,$B35,Energi!$K:$K,D$12)</f>
        <v>0</v>
      </c>
      <c r="E35" s="17">
        <f ca="1">COUNTIFS(Energi!$M:$M,$B35,Energi!$K:$K,E$12)</f>
        <v>0</v>
      </c>
      <c r="F35" s="17">
        <f ca="1">COUNTIFS(Energi!$M:$M,$B35,Energi!$K:$K,F$12)</f>
        <v>0</v>
      </c>
      <c r="G35" s="17">
        <f ca="1">COUNTIFS(Energi!$M:$M,$B35,Energi!$K:$K,G$12)</f>
        <v>0</v>
      </c>
      <c r="H35" s="17">
        <f ca="1">COUNTIFS(Energi!$M:$M,$B35,Energi!$K:$K,H$12)</f>
        <v>0</v>
      </c>
      <c r="I35" s="17">
        <f ca="1">COUNTIFS(Energi!$M:$M,$B35,Energi!$K:$K,I$12)</f>
        <v>0</v>
      </c>
      <c r="J35" s="18">
        <f ca="1">COUNTIFS(Energi!$M:$M,$B35)-SUM(C35:I35)</f>
        <v>0</v>
      </c>
      <c r="K35" s="15">
        <f t="shared" ca="1" si="6"/>
        <v>0</v>
      </c>
      <c r="M35" s="11" t="s">
        <v>150</v>
      </c>
      <c r="N35" s="16">
        <f ca="1">COUNTIFS(Energi!$M:$M,$M35,Energi!$K:$K,N$12,Energi!$X:$X,$N$1)</f>
        <v>0</v>
      </c>
      <c r="O35" s="17">
        <f ca="1">COUNTIFS(Energi!$M:$M,$M35,Energi!$K:$K,O$12,Energi!$X:$X,$N$1)</f>
        <v>0</v>
      </c>
      <c r="P35" s="17">
        <f ca="1">COUNTIFS(Energi!$M:$M,$M35,Energi!$K:$K,P$12,Energi!$X:$X,$N$1)</f>
        <v>0</v>
      </c>
      <c r="Q35" s="17">
        <f ca="1">COUNTIFS(Energi!$M:$M,$M35,Energi!$K:$K,Q$12,Energi!$X:$X,$N$1)</f>
        <v>0</v>
      </c>
      <c r="R35" s="17">
        <f ca="1">COUNTIFS(Energi!$M:$M,$M35,Energi!$K:$K,R$12,Energi!$X:$X,$N$1)</f>
        <v>0</v>
      </c>
      <c r="S35" s="17">
        <f ca="1">COUNTIFS(Energi!$M:$M,$M35,Energi!$K:$K,S$12,Energi!$X:$X,$N$1)</f>
        <v>0</v>
      </c>
      <c r="T35" s="17">
        <f ca="1">COUNTIFS(Energi!$M:$M,$M35,Energi!$K:$K,T$12,Energi!$X:$X,$N$1)</f>
        <v>0</v>
      </c>
      <c r="U35" s="18">
        <f ca="1">COUNTIFS(Energi!$M:$M,$M35,Energi!$K:$K,U$12,Energi!$X:$X,$N$1)</f>
        <v>0</v>
      </c>
      <c r="V35" s="15">
        <f t="shared" ca="1" si="7"/>
        <v>0</v>
      </c>
    </row>
    <row r="36" spans="2:22" x14ac:dyDescent="0.25">
      <c r="B36" s="11" t="s">
        <v>157</v>
      </c>
      <c r="C36" s="16">
        <f ca="1">COUNTIFS(Energi!$M:$M,$B36,Energi!$K:$K,C$12)</f>
        <v>0</v>
      </c>
      <c r="D36" s="17">
        <f ca="1">COUNTIFS(Energi!$M:$M,$B36,Energi!$K:$K,D$12)</f>
        <v>0</v>
      </c>
      <c r="E36" s="17">
        <f ca="1">COUNTIFS(Energi!$M:$M,$B36,Energi!$K:$K,E$12)</f>
        <v>0</v>
      </c>
      <c r="F36" s="17">
        <f ca="1">COUNTIFS(Energi!$M:$M,$B36,Energi!$K:$K,F$12)</f>
        <v>0</v>
      </c>
      <c r="G36" s="17">
        <f ca="1">COUNTIFS(Energi!$M:$M,$B36,Energi!$K:$K,G$12)</f>
        <v>0</v>
      </c>
      <c r="H36" s="17">
        <f ca="1">COUNTIFS(Energi!$M:$M,$B36,Energi!$K:$K,H$12)</f>
        <v>0</v>
      </c>
      <c r="I36" s="17">
        <f ca="1">COUNTIFS(Energi!$M:$M,$B36,Energi!$K:$K,I$12)</f>
        <v>0</v>
      </c>
      <c r="J36" s="18">
        <f ca="1">COUNTIFS(Energi!$M:$M,$B36)-SUM(C36:I36)</f>
        <v>0</v>
      </c>
      <c r="K36" s="15">
        <f t="shared" ca="1" si="6"/>
        <v>0</v>
      </c>
      <c r="M36" s="11" t="s">
        <v>157</v>
      </c>
      <c r="N36" s="16">
        <f ca="1">COUNTIFS(Energi!$M:$M,$M36,Energi!$K:$K,N$12,Energi!$X:$X,$N$1)</f>
        <v>0</v>
      </c>
      <c r="O36" s="17">
        <f ca="1">COUNTIFS(Energi!$M:$M,$M36,Energi!$K:$K,O$12,Energi!$X:$X,$N$1)</f>
        <v>0</v>
      </c>
      <c r="P36" s="17">
        <f ca="1">COUNTIFS(Energi!$M:$M,$M36,Energi!$K:$K,P$12,Energi!$X:$X,$N$1)</f>
        <v>0</v>
      </c>
      <c r="Q36" s="17">
        <f ca="1">COUNTIFS(Energi!$M:$M,$M36,Energi!$K:$K,Q$12,Energi!$X:$X,$N$1)</f>
        <v>0</v>
      </c>
      <c r="R36" s="17">
        <f ca="1">COUNTIFS(Energi!$M:$M,$M36,Energi!$K:$K,R$12,Energi!$X:$X,$N$1)</f>
        <v>0</v>
      </c>
      <c r="S36" s="17">
        <f ca="1">COUNTIFS(Energi!$M:$M,$M36,Energi!$K:$K,S$12,Energi!$X:$X,$N$1)</f>
        <v>0</v>
      </c>
      <c r="T36" s="17">
        <f ca="1">COUNTIFS(Energi!$M:$M,$M36,Energi!$K:$K,T$12,Energi!$X:$X,$N$1)</f>
        <v>0</v>
      </c>
      <c r="U36" s="18">
        <f ca="1">COUNTIFS(Energi!$M:$M,$M36,Energi!$K:$K,U$12,Energi!$X:$X,$N$1)</f>
        <v>0</v>
      </c>
      <c r="V36" s="15">
        <f t="shared" ca="1" si="7"/>
        <v>0</v>
      </c>
    </row>
    <row r="37" spans="2:22" x14ac:dyDescent="0.25">
      <c r="B37" s="11" t="s">
        <v>160</v>
      </c>
      <c r="C37" s="19">
        <f ca="1">COUNTIFS(Energi!$M:$M,$B37,Energi!$K:$K,C$12)</f>
        <v>0</v>
      </c>
      <c r="D37" s="20">
        <f ca="1">COUNTIFS(Energi!$M:$M,$B37,Energi!$K:$K,D$12)</f>
        <v>0</v>
      </c>
      <c r="E37" s="20">
        <f ca="1">COUNTIFS(Energi!$M:$M,$B37,Energi!$K:$K,E$12)</f>
        <v>0</v>
      </c>
      <c r="F37" s="20">
        <f ca="1">COUNTIFS(Energi!$M:$M,$B37,Energi!$K:$K,F$12)</f>
        <v>0</v>
      </c>
      <c r="G37" s="20">
        <f ca="1">COUNTIFS(Energi!$M:$M,$B37,Energi!$K:$K,G$12)</f>
        <v>0</v>
      </c>
      <c r="H37" s="20">
        <f ca="1">COUNTIFS(Energi!$M:$M,$B37,Energi!$K:$K,H$12)</f>
        <v>0</v>
      </c>
      <c r="I37" s="20">
        <f ca="1">COUNTIFS(Energi!$M:$M,$B37,Energi!$K:$K,I$12)</f>
        <v>0</v>
      </c>
      <c r="J37" s="21">
        <f ca="1">COUNTIFS(Energi!$M:$M,$B37)-SUM(C37:I37)</f>
        <v>0</v>
      </c>
      <c r="K37" s="15">
        <f t="shared" ca="1" si="6"/>
        <v>0</v>
      </c>
      <c r="M37" s="11" t="s">
        <v>160</v>
      </c>
      <c r="N37" s="19">
        <f ca="1">COUNTIFS(Energi!$M:$M,$M37,Energi!$K:$K,N$12,Energi!$X:$X,$N$1)</f>
        <v>0</v>
      </c>
      <c r="O37" s="20">
        <f ca="1">COUNTIFS(Energi!$M:$M,$M37,Energi!$K:$K,O$12,Energi!$X:$X,$N$1)</f>
        <v>0</v>
      </c>
      <c r="P37" s="20">
        <f ca="1">COUNTIFS(Energi!$M:$M,$M37,Energi!$K:$K,P$12,Energi!$X:$X,$N$1)</f>
        <v>0</v>
      </c>
      <c r="Q37" s="20">
        <f ca="1">COUNTIFS(Energi!$M:$M,$M37,Energi!$K:$K,Q$12,Energi!$X:$X,$N$1)</f>
        <v>0</v>
      </c>
      <c r="R37" s="20">
        <f ca="1">COUNTIFS(Energi!$M:$M,$M37,Energi!$K:$K,R$12,Energi!$X:$X,$N$1)</f>
        <v>0</v>
      </c>
      <c r="S37" s="20">
        <f ca="1">COUNTIFS(Energi!$M:$M,$M37,Energi!$K:$K,S$12,Energi!$X:$X,$N$1)</f>
        <v>0</v>
      </c>
      <c r="T37" s="20">
        <f ca="1">COUNTIFS(Energi!$M:$M,$M37,Energi!$K:$K,T$12,Energi!$X:$X,$N$1)</f>
        <v>0</v>
      </c>
      <c r="U37" s="21">
        <f ca="1">COUNTIFS(Energi!$M:$M,$M37,Energi!$K:$K,U$12,Energi!$X:$X,$N$1)</f>
        <v>0</v>
      </c>
      <c r="V37" s="15">
        <f t="shared" ca="1" si="7"/>
        <v>0</v>
      </c>
    </row>
    <row r="38" spans="2:22" x14ac:dyDescent="0.25">
      <c r="B38" s="22" t="s">
        <v>174</v>
      </c>
      <c r="C38" s="36">
        <f ca="1">COUNTIFS(Energi!$K:$K,C$12)-SUM(C13:C37)</f>
        <v>0</v>
      </c>
      <c r="D38" s="36">
        <f ca="1">COUNTIFS(Energi!$K:$K,D$12)-SUM(D13:D37)</f>
        <v>0</v>
      </c>
      <c r="E38" s="36">
        <f ca="1">COUNTIFS(Energi!$K:$K,E$12)-SUM(E13:E37)</f>
        <v>0</v>
      </c>
      <c r="F38" s="36">
        <f ca="1">COUNTIFS(Energi!$K:$K,F$12)-SUM(F13:F37)</f>
        <v>0</v>
      </c>
      <c r="G38" s="36">
        <f ca="1">COUNTIFS(Energi!$K:$K,G$12)-SUM(G13:G37)</f>
        <v>0</v>
      </c>
      <c r="H38" s="36">
        <f ca="1">COUNTIFS(Energi!$K:$K,H$12)-SUM(H13:H37)</f>
        <v>0</v>
      </c>
      <c r="I38" s="36">
        <f ca="1">COUNTIFS(Energi!$K:$K,I$12)-SUM(I13:I37)</f>
        <v>0</v>
      </c>
      <c r="J38" s="37"/>
      <c r="K38" s="24">
        <f t="shared" ca="1" si="6"/>
        <v>0</v>
      </c>
      <c r="M38" s="22" t="s">
        <v>174</v>
      </c>
      <c r="N38" s="36">
        <f ca="1">COUNTIFS(Energi!$K:$K,N$12,Energi!$X:$X,$N$1)-SUM(N13:N37)</f>
        <v>0</v>
      </c>
      <c r="O38" s="36">
        <f ca="1">COUNTIFS(Energi!$K:$K,O$12,Energi!$X:$X,$N$1)-SUM(O13:O37)</f>
        <v>0</v>
      </c>
      <c r="P38" s="36">
        <f ca="1">COUNTIFS(Energi!$K:$K,P$12,Energi!$X:$X,$N$1)-SUM(P13:P37)</f>
        <v>0</v>
      </c>
      <c r="Q38" s="36">
        <f ca="1">COUNTIFS(Energi!$K:$K,Q$12,Energi!$X:$X,$N$1)-SUM(Q13:Q37)</f>
        <v>0</v>
      </c>
      <c r="R38" s="36">
        <f ca="1">COUNTIFS(Energi!$K:$K,R$12,Energi!$X:$X,$N$1)-SUM(R13:R37)</f>
        <v>0</v>
      </c>
      <c r="S38" s="36">
        <f ca="1">COUNTIFS(Energi!$K:$K,S$12,Energi!$X:$X,$N$1)-SUM(S13:S37)</f>
        <v>0</v>
      </c>
      <c r="T38" s="36">
        <f ca="1">COUNTIFS(Energi!$K:$K,T$12,Energi!$X:$X,$N$1)-SUM(T13:T37)</f>
        <v>0</v>
      </c>
      <c r="U38" s="37"/>
      <c r="V38" s="24">
        <f t="shared" ca="1" si="7"/>
        <v>0</v>
      </c>
    </row>
    <row r="39" spans="2:22" ht="15.75" thickBot="1" x14ac:dyDescent="0.3">
      <c r="B39" s="25" t="s">
        <v>175</v>
      </c>
      <c r="C39" s="26">
        <f ca="1">SUM(C13:C37)</f>
        <v>0</v>
      </c>
      <c r="D39" s="26">
        <f t="shared" ref="D39:J39" ca="1" si="8">SUM(D13:D37)</f>
        <v>0</v>
      </c>
      <c r="E39" s="26">
        <f t="shared" ca="1" si="8"/>
        <v>0</v>
      </c>
      <c r="F39" s="26">
        <f t="shared" ca="1" si="8"/>
        <v>0</v>
      </c>
      <c r="G39" s="26">
        <f t="shared" ca="1" si="8"/>
        <v>0</v>
      </c>
      <c r="H39" s="26">
        <f t="shared" ca="1" si="8"/>
        <v>0</v>
      </c>
      <c r="I39" s="26">
        <f t="shared" ca="1" si="8"/>
        <v>0</v>
      </c>
      <c r="J39" s="27">
        <f t="shared" ca="1" si="8"/>
        <v>0</v>
      </c>
      <c r="K39" s="28">
        <f t="shared" ca="1" si="6"/>
        <v>0</v>
      </c>
      <c r="M39" s="25" t="s">
        <v>175</v>
      </c>
      <c r="N39" s="26">
        <f ca="1">SUM(N13:N37)</f>
        <v>0</v>
      </c>
      <c r="O39" s="26">
        <f t="shared" ref="O39:U39" ca="1" si="9">SUM(O13:O37)</f>
        <v>0</v>
      </c>
      <c r="P39" s="26">
        <f t="shared" ca="1" si="9"/>
        <v>0</v>
      </c>
      <c r="Q39" s="26">
        <f t="shared" ca="1" si="9"/>
        <v>0</v>
      </c>
      <c r="R39" s="26">
        <f t="shared" ca="1" si="9"/>
        <v>0</v>
      </c>
      <c r="S39" s="26">
        <f t="shared" ca="1" si="9"/>
        <v>0</v>
      </c>
      <c r="T39" s="26">
        <f t="shared" ca="1" si="9"/>
        <v>0</v>
      </c>
      <c r="U39" s="27">
        <f t="shared" ca="1" si="9"/>
        <v>0</v>
      </c>
      <c r="V39" s="28">
        <f t="shared" ca="1" si="7"/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E5747DF-3FD2-4BF0-AB15-3C61F8ABE0F8}">
          <x14:formula1>
            <xm:f>Omraader!$B:$B</xm:f>
          </x14:formula1>
          <xm:sqref>M1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K28"/>
  <sheetViews>
    <sheetView workbookViewId="0">
      <selection activeCell="E24" sqref="E24"/>
    </sheetView>
  </sheetViews>
  <sheetFormatPr defaultRowHeight="15" x14ac:dyDescent="0.25"/>
  <cols>
    <col min="1" max="1" width="29.28515625" bestFit="1" customWidth="1"/>
    <col min="2" max="2" width="9.85546875" bestFit="1" customWidth="1"/>
    <col min="3" max="3" width="8.28515625" bestFit="1" customWidth="1"/>
    <col min="4" max="11" width="9.7109375" bestFit="1" customWidth="1"/>
  </cols>
  <sheetData>
    <row r="1" spans="1:11" x14ac:dyDescent="0.25">
      <c r="A1" s="38" t="s">
        <v>210</v>
      </c>
      <c r="B1" s="39" t="s">
        <v>211</v>
      </c>
      <c r="C1">
        <v>0</v>
      </c>
      <c r="D1">
        <v>1890</v>
      </c>
      <c r="E1">
        <v>1931</v>
      </c>
      <c r="F1">
        <v>1951</v>
      </c>
      <c r="G1">
        <v>1961</v>
      </c>
      <c r="H1">
        <v>1973</v>
      </c>
      <c r="I1">
        <v>1979</v>
      </c>
      <c r="J1">
        <v>1999</v>
      </c>
      <c r="K1">
        <v>2007</v>
      </c>
    </row>
    <row r="2" spans="1:11" x14ac:dyDescent="0.25">
      <c r="A2" t="s">
        <v>9</v>
      </c>
      <c r="B2" t="s">
        <v>10</v>
      </c>
      <c r="C2" t="s">
        <v>11</v>
      </c>
      <c r="D2" t="s">
        <v>12</v>
      </c>
      <c r="E2" t="s">
        <v>13</v>
      </c>
      <c r="F2" t="s">
        <v>14</v>
      </c>
      <c r="G2" t="s">
        <v>15</v>
      </c>
      <c r="H2" t="s">
        <v>16</v>
      </c>
      <c r="I2" t="s">
        <v>17</v>
      </c>
      <c r="J2" t="s">
        <v>18</v>
      </c>
      <c r="K2" t="s">
        <v>19</v>
      </c>
    </row>
    <row r="3" spans="1:11" x14ac:dyDescent="0.25">
      <c r="A3" t="s">
        <v>20</v>
      </c>
      <c r="B3">
        <v>110</v>
      </c>
      <c r="C3">
        <v>184.3</v>
      </c>
      <c r="D3">
        <v>171.4</v>
      </c>
      <c r="E3">
        <v>161.80000000000001</v>
      </c>
      <c r="F3">
        <v>151.19999999999999</v>
      </c>
      <c r="G3">
        <v>136.19999999999999</v>
      </c>
      <c r="H3">
        <v>116.9</v>
      </c>
      <c r="I3">
        <v>100.3</v>
      </c>
      <c r="J3">
        <v>81</v>
      </c>
      <c r="K3">
        <v>66.599999999999994</v>
      </c>
    </row>
    <row r="4" spans="1:11" x14ac:dyDescent="0.25">
      <c r="A4" t="s">
        <v>21</v>
      </c>
      <c r="B4">
        <v>120</v>
      </c>
      <c r="C4">
        <v>170.3</v>
      </c>
      <c r="D4">
        <v>164.7</v>
      </c>
      <c r="E4">
        <v>164.1</v>
      </c>
      <c r="F4">
        <v>154.9</v>
      </c>
      <c r="G4">
        <v>134.30000000000001</v>
      </c>
      <c r="H4">
        <v>119.8</v>
      </c>
      <c r="I4">
        <v>105.4</v>
      </c>
      <c r="J4">
        <v>83.9</v>
      </c>
      <c r="K4">
        <v>67.3</v>
      </c>
    </row>
    <row r="5" spans="1:11" x14ac:dyDescent="0.25">
      <c r="A5" t="s">
        <v>22</v>
      </c>
      <c r="B5">
        <v>130</v>
      </c>
      <c r="C5">
        <v>158.19999999999999</v>
      </c>
      <c r="D5">
        <v>157.69999999999999</v>
      </c>
      <c r="E5">
        <v>149.30000000000001</v>
      </c>
      <c r="F5">
        <v>142.80000000000001</v>
      </c>
      <c r="G5">
        <v>119.9</v>
      </c>
      <c r="H5">
        <v>112.6</v>
      </c>
      <c r="I5">
        <v>96.8</v>
      </c>
      <c r="J5">
        <v>81.5</v>
      </c>
      <c r="K5">
        <v>66.400000000000006</v>
      </c>
    </row>
    <row r="6" spans="1:11" x14ac:dyDescent="0.25">
      <c r="A6" t="s">
        <v>23</v>
      </c>
      <c r="B6">
        <v>140</v>
      </c>
      <c r="C6">
        <v>151.1</v>
      </c>
      <c r="D6">
        <v>153.9</v>
      </c>
      <c r="E6">
        <v>157</v>
      </c>
      <c r="F6">
        <v>148</v>
      </c>
      <c r="G6">
        <v>132.30000000000001</v>
      </c>
      <c r="H6">
        <v>121</v>
      </c>
      <c r="I6">
        <v>108.5</v>
      </c>
      <c r="J6">
        <v>84</v>
      </c>
      <c r="K6">
        <v>60.7</v>
      </c>
    </row>
    <row r="7" spans="1:11" x14ac:dyDescent="0.25">
      <c r="A7" t="s">
        <v>24</v>
      </c>
      <c r="B7">
        <v>150</v>
      </c>
      <c r="C7">
        <v>137.9</v>
      </c>
      <c r="D7">
        <v>149.19999999999999</v>
      </c>
      <c r="E7">
        <v>136.4</v>
      </c>
      <c r="F7">
        <v>145.69999999999999</v>
      </c>
      <c r="G7">
        <v>130.6</v>
      </c>
      <c r="H7">
        <v>139.1</v>
      </c>
      <c r="I7">
        <v>131.69999999999999</v>
      </c>
      <c r="J7">
        <v>84</v>
      </c>
      <c r="K7">
        <v>58.2</v>
      </c>
    </row>
    <row r="8" spans="1:11" x14ac:dyDescent="0.25">
      <c r="A8" t="s">
        <v>25</v>
      </c>
      <c r="B8">
        <v>160</v>
      </c>
      <c r="C8">
        <v>164.1</v>
      </c>
      <c r="D8">
        <v>161.9</v>
      </c>
      <c r="E8">
        <v>152.30000000000001</v>
      </c>
      <c r="F8">
        <v>140.19999999999999</v>
      </c>
      <c r="G8">
        <v>143.19999999999999</v>
      </c>
      <c r="H8">
        <v>136.9</v>
      </c>
      <c r="I8">
        <v>116</v>
      </c>
      <c r="J8">
        <v>94.1</v>
      </c>
      <c r="K8">
        <v>63.3</v>
      </c>
    </row>
    <row r="9" spans="1:11" x14ac:dyDescent="0.25">
      <c r="A9" t="s">
        <v>26</v>
      </c>
      <c r="B9">
        <v>190</v>
      </c>
      <c r="C9">
        <v>161.1</v>
      </c>
      <c r="D9">
        <v>165.7</v>
      </c>
      <c r="E9">
        <v>158.4</v>
      </c>
      <c r="F9">
        <v>161.4</v>
      </c>
      <c r="G9">
        <v>135.80000000000001</v>
      </c>
      <c r="H9">
        <v>132.69999999999999</v>
      </c>
      <c r="I9">
        <v>101</v>
      </c>
      <c r="J9">
        <v>80.400000000000006</v>
      </c>
      <c r="K9">
        <v>66.599999999999994</v>
      </c>
    </row>
    <row r="10" spans="1:11" x14ac:dyDescent="0.25">
      <c r="A10" t="s">
        <v>27</v>
      </c>
      <c r="B10">
        <v>320</v>
      </c>
      <c r="C10">
        <v>129.80000000000001</v>
      </c>
      <c r="D10">
        <v>125.2</v>
      </c>
      <c r="E10">
        <v>129</v>
      </c>
      <c r="F10">
        <v>126.7</v>
      </c>
      <c r="G10">
        <v>117.5</v>
      </c>
      <c r="H10">
        <v>120</v>
      </c>
      <c r="I10">
        <v>103.3</v>
      </c>
      <c r="J10">
        <v>89.6</v>
      </c>
      <c r="K10">
        <v>82.8</v>
      </c>
    </row>
    <row r="11" spans="1:11" x14ac:dyDescent="0.25">
      <c r="A11" t="s">
        <v>28</v>
      </c>
      <c r="B11">
        <v>330</v>
      </c>
      <c r="C11">
        <v>172</v>
      </c>
      <c r="D11">
        <v>166.5</v>
      </c>
      <c r="E11">
        <v>152.4</v>
      </c>
      <c r="F11">
        <v>160.9</v>
      </c>
      <c r="G11">
        <v>157.19999999999999</v>
      </c>
      <c r="H11">
        <v>172</v>
      </c>
      <c r="I11">
        <v>141.80000000000001</v>
      </c>
      <c r="J11">
        <v>122.6</v>
      </c>
      <c r="K11">
        <v>121.1</v>
      </c>
    </row>
    <row r="12" spans="1:11" x14ac:dyDescent="0.25">
      <c r="A12" t="s">
        <v>29</v>
      </c>
      <c r="B12">
        <v>390</v>
      </c>
      <c r="C12">
        <v>82.7</v>
      </c>
      <c r="D12">
        <v>119</v>
      </c>
      <c r="E12">
        <v>123.6</v>
      </c>
      <c r="F12">
        <v>107.4</v>
      </c>
      <c r="G12">
        <v>125.7</v>
      </c>
      <c r="H12">
        <v>139.9</v>
      </c>
      <c r="I12">
        <v>116.6</v>
      </c>
      <c r="J12">
        <v>102.7</v>
      </c>
      <c r="K12">
        <v>96</v>
      </c>
    </row>
    <row r="13" spans="1:11" x14ac:dyDescent="0.25">
      <c r="A13" t="s">
        <v>30</v>
      </c>
      <c r="B13">
        <v>410</v>
      </c>
      <c r="C13">
        <v>166</v>
      </c>
      <c r="D13">
        <v>156.1</v>
      </c>
      <c r="E13">
        <v>156.5</v>
      </c>
      <c r="F13">
        <v>139.19999999999999</v>
      </c>
      <c r="G13">
        <v>125.8</v>
      </c>
      <c r="H13">
        <v>118.4</v>
      </c>
      <c r="I13">
        <v>131.19999999999999</v>
      </c>
      <c r="J13">
        <v>105.1</v>
      </c>
      <c r="K13">
        <v>96.6</v>
      </c>
    </row>
    <row r="14" spans="1:11" x14ac:dyDescent="0.25">
      <c r="A14" t="s">
        <v>31</v>
      </c>
      <c r="B14">
        <v>420</v>
      </c>
      <c r="C14">
        <v>126.2</v>
      </c>
      <c r="D14">
        <v>136.30000000000001</v>
      </c>
      <c r="E14">
        <v>141</v>
      </c>
      <c r="F14">
        <v>133.80000000000001</v>
      </c>
      <c r="G14">
        <v>135.1</v>
      </c>
      <c r="H14">
        <v>145.6</v>
      </c>
      <c r="I14">
        <v>115.1</v>
      </c>
      <c r="J14">
        <v>100</v>
      </c>
      <c r="K14">
        <v>86.2</v>
      </c>
    </row>
    <row r="15" spans="1:11" x14ac:dyDescent="0.25">
      <c r="A15" t="s">
        <v>32</v>
      </c>
      <c r="B15">
        <v>430</v>
      </c>
      <c r="C15">
        <v>195.3</v>
      </c>
      <c r="D15">
        <v>178.4</v>
      </c>
      <c r="E15">
        <v>173.2</v>
      </c>
      <c r="F15">
        <v>177.3</v>
      </c>
      <c r="G15">
        <v>153.80000000000001</v>
      </c>
      <c r="H15">
        <v>156.5</v>
      </c>
      <c r="I15">
        <v>149.6</v>
      </c>
      <c r="J15">
        <v>138.6</v>
      </c>
      <c r="K15">
        <v>129.69999999999999</v>
      </c>
    </row>
    <row r="16" spans="1:11" x14ac:dyDescent="0.25">
      <c r="A16" t="s">
        <v>33</v>
      </c>
      <c r="B16">
        <v>440</v>
      </c>
      <c r="C16">
        <v>170.7</v>
      </c>
      <c r="D16">
        <v>181.7</v>
      </c>
      <c r="E16">
        <v>173.8</v>
      </c>
      <c r="F16">
        <v>171.6</v>
      </c>
      <c r="G16">
        <v>172.8</v>
      </c>
      <c r="H16">
        <v>166.1</v>
      </c>
      <c r="I16">
        <v>143.5</v>
      </c>
      <c r="J16">
        <v>133.9</v>
      </c>
      <c r="K16">
        <v>115.9</v>
      </c>
    </row>
    <row r="17" spans="1:11" x14ac:dyDescent="0.25">
      <c r="A17" t="s">
        <v>34</v>
      </c>
      <c r="B17">
        <v>490</v>
      </c>
      <c r="C17">
        <v>177.9</v>
      </c>
      <c r="D17">
        <v>175.8</v>
      </c>
      <c r="E17">
        <v>178.2</v>
      </c>
      <c r="F17">
        <v>201.7</v>
      </c>
      <c r="G17">
        <v>179.1</v>
      </c>
      <c r="H17">
        <v>169.1</v>
      </c>
      <c r="I17">
        <v>139.4</v>
      </c>
      <c r="J17">
        <v>135.30000000000001</v>
      </c>
      <c r="K17">
        <v>117.6</v>
      </c>
    </row>
    <row r="18" spans="1:11" x14ac:dyDescent="0.25">
      <c r="A18" t="s">
        <v>35</v>
      </c>
      <c r="B18">
        <v>510</v>
      </c>
      <c r="C18">
        <v>205.8</v>
      </c>
      <c r="D18">
        <v>162.5</v>
      </c>
      <c r="E18">
        <v>150</v>
      </c>
      <c r="F18">
        <v>176.7</v>
      </c>
      <c r="G18">
        <v>154.6</v>
      </c>
      <c r="H18">
        <v>126.6</v>
      </c>
      <c r="I18">
        <v>134.80000000000001</v>
      </c>
      <c r="J18">
        <v>90.8</v>
      </c>
      <c r="K18">
        <v>73.099999999999994</v>
      </c>
    </row>
    <row r="19" spans="1:11" x14ac:dyDescent="0.25">
      <c r="A19" t="s">
        <v>36</v>
      </c>
      <c r="B19">
        <v>520</v>
      </c>
      <c r="C19">
        <v>139.6</v>
      </c>
      <c r="D19">
        <v>150.5</v>
      </c>
      <c r="E19">
        <v>172.4</v>
      </c>
      <c r="F19">
        <v>112.1</v>
      </c>
      <c r="G19">
        <v>137.9</v>
      </c>
      <c r="H19">
        <v>122.1</v>
      </c>
      <c r="I19">
        <v>125.4</v>
      </c>
      <c r="J19">
        <v>68.900000000000006</v>
      </c>
      <c r="K19">
        <v>35.9</v>
      </c>
    </row>
    <row r="20" spans="1:11" x14ac:dyDescent="0.25">
      <c r="A20" t="s">
        <v>37</v>
      </c>
      <c r="B20">
        <v>530</v>
      </c>
      <c r="C20">
        <v>198.1</v>
      </c>
      <c r="D20">
        <v>206.8</v>
      </c>
      <c r="E20">
        <v>187.8</v>
      </c>
      <c r="F20">
        <v>173.4</v>
      </c>
      <c r="G20">
        <v>165.3</v>
      </c>
      <c r="H20">
        <v>163.1</v>
      </c>
      <c r="I20">
        <v>155</v>
      </c>
      <c r="J20">
        <v>138.30000000000001</v>
      </c>
      <c r="K20">
        <v>119.3</v>
      </c>
    </row>
    <row r="21" spans="1:11" x14ac:dyDescent="0.25">
      <c r="A21" t="s">
        <v>38</v>
      </c>
      <c r="B21">
        <v>540</v>
      </c>
      <c r="C21">
        <v>163.4</v>
      </c>
      <c r="D21">
        <v>132</v>
      </c>
      <c r="E21">
        <v>149.69999999999999</v>
      </c>
      <c r="F21">
        <v>154.69999999999999</v>
      </c>
      <c r="G21">
        <v>129.80000000000001</v>
      </c>
      <c r="H21">
        <v>129</v>
      </c>
      <c r="I21">
        <v>115</v>
      </c>
      <c r="J21">
        <v>98.6</v>
      </c>
      <c r="K21">
        <v>76.8</v>
      </c>
    </row>
    <row r="22" spans="1:11" x14ac:dyDescent="0.25">
      <c r="A22" t="s">
        <v>39</v>
      </c>
      <c r="B22">
        <v>590</v>
      </c>
      <c r="C22">
        <v>163.4</v>
      </c>
      <c r="D22">
        <v>132</v>
      </c>
      <c r="E22">
        <v>149.69999999999999</v>
      </c>
      <c r="F22">
        <v>154.69999999999999</v>
      </c>
      <c r="G22">
        <v>129.80000000000001</v>
      </c>
      <c r="H22">
        <v>129</v>
      </c>
      <c r="I22">
        <v>115</v>
      </c>
      <c r="J22">
        <v>98.6</v>
      </c>
      <c r="K22">
        <v>76.8</v>
      </c>
    </row>
    <row r="23" spans="1:11" x14ac:dyDescent="0.25">
      <c r="A23" t="s">
        <v>40</v>
      </c>
      <c r="B23">
        <v>180</v>
      </c>
      <c r="C23">
        <v>161.1</v>
      </c>
      <c r="D23">
        <v>165.7</v>
      </c>
      <c r="E23">
        <v>158.4</v>
      </c>
      <c r="F23">
        <v>161.4</v>
      </c>
      <c r="G23">
        <v>135.80000000000001</v>
      </c>
      <c r="H23">
        <v>132.69999999999999</v>
      </c>
      <c r="I23">
        <v>101</v>
      </c>
      <c r="J23">
        <v>80.400000000000006</v>
      </c>
      <c r="K23">
        <v>66.599999999999994</v>
      </c>
    </row>
    <row r="24" spans="1:11" x14ac:dyDescent="0.25">
      <c r="A24" t="s">
        <v>41</v>
      </c>
      <c r="B24">
        <v>210</v>
      </c>
      <c r="C24">
        <v>45</v>
      </c>
      <c r="D24">
        <v>45</v>
      </c>
      <c r="E24">
        <v>45</v>
      </c>
      <c r="F24">
        <v>45</v>
      </c>
      <c r="G24">
        <v>33</v>
      </c>
      <c r="H24">
        <v>33</v>
      </c>
      <c r="I24">
        <v>22</v>
      </c>
      <c r="J24">
        <v>22</v>
      </c>
      <c r="K24">
        <v>22</v>
      </c>
    </row>
    <row r="25" spans="1:11" x14ac:dyDescent="0.25">
      <c r="A25" t="s">
        <v>42</v>
      </c>
      <c r="B25">
        <v>220</v>
      </c>
      <c r="C25">
        <v>120</v>
      </c>
      <c r="D25">
        <v>120</v>
      </c>
      <c r="E25">
        <v>120</v>
      </c>
      <c r="F25">
        <v>120</v>
      </c>
      <c r="G25">
        <v>97</v>
      </c>
      <c r="H25">
        <v>97</v>
      </c>
      <c r="I25">
        <v>66</v>
      </c>
      <c r="J25">
        <v>66</v>
      </c>
      <c r="K25">
        <v>66</v>
      </c>
    </row>
    <row r="26" spans="1:11" x14ac:dyDescent="0.25">
      <c r="A26" t="s">
        <v>43</v>
      </c>
      <c r="B26">
        <v>230</v>
      </c>
      <c r="C26">
        <v>120</v>
      </c>
      <c r="D26">
        <v>120</v>
      </c>
      <c r="E26">
        <v>120</v>
      </c>
      <c r="F26">
        <v>120</v>
      </c>
      <c r="G26">
        <v>97</v>
      </c>
      <c r="H26">
        <v>97</v>
      </c>
      <c r="I26">
        <v>66</v>
      </c>
      <c r="J26">
        <v>66</v>
      </c>
      <c r="K26">
        <v>66</v>
      </c>
    </row>
    <row r="27" spans="1:11" x14ac:dyDescent="0.25">
      <c r="A27" t="s">
        <v>44</v>
      </c>
      <c r="B27">
        <v>290</v>
      </c>
      <c r="C27">
        <v>120</v>
      </c>
      <c r="D27">
        <v>120</v>
      </c>
      <c r="E27">
        <v>120</v>
      </c>
      <c r="F27">
        <v>120</v>
      </c>
      <c r="G27">
        <v>97</v>
      </c>
      <c r="H27">
        <v>97</v>
      </c>
      <c r="I27">
        <v>66</v>
      </c>
      <c r="J27">
        <v>66</v>
      </c>
      <c r="K27">
        <v>66</v>
      </c>
    </row>
    <row r="28" spans="1:11" x14ac:dyDescent="0.25">
      <c r="A28" t="s">
        <v>45</v>
      </c>
      <c r="B28">
        <v>310</v>
      </c>
      <c r="C28">
        <v>124</v>
      </c>
      <c r="D28">
        <v>124</v>
      </c>
      <c r="E28">
        <v>124</v>
      </c>
      <c r="F28">
        <v>124</v>
      </c>
      <c r="G28">
        <v>100</v>
      </c>
      <c r="H28">
        <v>100</v>
      </c>
      <c r="I28">
        <v>68</v>
      </c>
      <c r="J28">
        <v>68</v>
      </c>
      <c r="K28">
        <v>68</v>
      </c>
    </row>
  </sheetData>
  <hyperlinks>
    <hyperlink ref="B1" r:id="rId1" xr:uid="{A591696B-7CAE-4989-82C8-6B2A13AA0EA7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F9E0F-6EC1-40FB-9410-5387C58258A8}">
  <sheetPr codeName="Sheet9">
    <tabColor theme="0"/>
  </sheetPr>
  <dimension ref="A2:C235"/>
  <sheetViews>
    <sheetView workbookViewId="0">
      <selection activeCell="E24" sqref="E24"/>
    </sheetView>
  </sheetViews>
  <sheetFormatPr defaultRowHeight="15" x14ac:dyDescent="0.25"/>
  <sheetData>
    <row r="2" spans="1:3" x14ac:dyDescent="0.25">
      <c r="A2">
        <v>110</v>
      </c>
      <c r="B2">
        <v>0</v>
      </c>
      <c r="C2">
        <f>INDEX(SBi!$C$3:$K$28,MATCH(A2,SBi!$B$3:$B$28,0),MATCH(B2,SBi!$C$1:$K$1,0))</f>
        <v>184.3</v>
      </c>
    </row>
    <row r="3" spans="1:3" x14ac:dyDescent="0.25">
      <c r="A3">
        <v>120</v>
      </c>
      <c r="B3">
        <v>0</v>
      </c>
      <c r="C3">
        <f>INDEX(SBi!$C$3:$K$28,MATCH(A3,SBi!$B$3:$B$28,0),MATCH(B3,SBi!$C$1:$K$1,0))</f>
        <v>170.3</v>
      </c>
    </row>
    <row r="4" spans="1:3" x14ac:dyDescent="0.25">
      <c r="A4">
        <v>130</v>
      </c>
      <c r="B4">
        <v>0</v>
      </c>
      <c r="C4">
        <f>INDEX(SBi!$C$3:$K$28,MATCH(A4,SBi!$B$3:$B$28,0),MATCH(B4,SBi!$C$1:$K$1,0))</f>
        <v>158.19999999999999</v>
      </c>
    </row>
    <row r="5" spans="1:3" x14ac:dyDescent="0.25">
      <c r="A5">
        <v>140</v>
      </c>
      <c r="B5">
        <v>0</v>
      </c>
      <c r="C5">
        <f>INDEX(SBi!$C$3:$K$28,MATCH(A5,SBi!$B$3:$B$28,0),MATCH(B5,SBi!$C$1:$K$1,0))</f>
        <v>151.1</v>
      </c>
    </row>
    <row r="6" spans="1:3" x14ac:dyDescent="0.25">
      <c r="A6">
        <v>150</v>
      </c>
      <c r="B6">
        <v>0</v>
      </c>
      <c r="C6">
        <f>INDEX(SBi!$C$3:$K$28,MATCH(A6,SBi!$B$3:$B$28,0),MATCH(B6,SBi!$C$1:$K$1,0))</f>
        <v>137.9</v>
      </c>
    </row>
    <row r="7" spans="1:3" x14ac:dyDescent="0.25">
      <c r="A7">
        <v>160</v>
      </c>
      <c r="B7">
        <v>0</v>
      </c>
      <c r="C7">
        <f>INDEX(SBi!$C$3:$K$28,MATCH(A7,SBi!$B$3:$B$28,0),MATCH(B7,SBi!$C$1:$K$1,0))</f>
        <v>164.1</v>
      </c>
    </row>
    <row r="8" spans="1:3" x14ac:dyDescent="0.25">
      <c r="A8">
        <v>190</v>
      </c>
      <c r="B8">
        <v>0</v>
      </c>
      <c r="C8">
        <f>INDEX(SBi!$C$3:$K$28,MATCH(A8,SBi!$B$3:$B$28,0),MATCH(B8,SBi!$C$1:$K$1,0))</f>
        <v>161.1</v>
      </c>
    </row>
    <row r="9" spans="1:3" x14ac:dyDescent="0.25">
      <c r="A9">
        <v>320</v>
      </c>
      <c r="B9">
        <v>0</v>
      </c>
      <c r="C9">
        <f>INDEX(SBi!$C$3:$K$28,MATCH(A9,SBi!$B$3:$B$28,0),MATCH(B9,SBi!$C$1:$K$1,0))</f>
        <v>129.80000000000001</v>
      </c>
    </row>
    <row r="10" spans="1:3" x14ac:dyDescent="0.25">
      <c r="A10">
        <v>330</v>
      </c>
      <c r="B10">
        <v>0</v>
      </c>
      <c r="C10">
        <f>INDEX(SBi!$C$3:$K$28,MATCH(A10,SBi!$B$3:$B$28,0),MATCH(B10,SBi!$C$1:$K$1,0))</f>
        <v>172</v>
      </c>
    </row>
    <row r="11" spans="1:3" x14ac:dyDescent="0.25">
      <c r="A11">
        <v>390</v>
      </c>
      <c r="B11">
        <v>0</v>
      </c>
      <c r="C11">
        <f>INDEX(SBi!$C$3:$K$28,MATCH(A11,SBi!$B$3:$B$28,0),MATCH(B11,SBi!$C$1:$K$1,0))</f>
        <v>82.7</v>
      </c>
    </row>
    <row r="12" spans="1:3" x14ac:dyDescent="0.25">
      <c r="A12">
        <v>410</v>
      </c>
      <c r="B12">
        <v>0</v>
      </c>
      <c r="C12">
        <f>INDEX(SBi!$C$3:$K$28,MATCH(A12,SBi!$B$3:$B$28,0),MATCH(B12,SBi!$C$1:$K$1,0))</f>
        <v>166</v>
      </c>
    </row>
    <row r="13" spans="1:3" x14ac:dyDescent="0.25">
      <c r="A13">
        <v>420</v>
      </c>
      <c r="B13">
        <v>0</v>
      </c>
      <c r="C13">
        <f>INDEX(SBi!$C$3:$K$28,MATCH(A13,SBi!$B$3:$B$28,0),MATCH(B13,SBi!$C$1:$K$1,0))</f>
        <v>126.2</v>
      </c>
    </row>
    <row r="14" spans="1:3" x14ac:dyDescent="0.25">
      <c r="A14">
        <v>430</v>
      </c>
      <c r="B14">
        <v>0</v>
      </c>
      <c r="C14">
        <f>INDEX(SBi!$C$3:$K$28,MATCH(A14,SBi!$B$3:$B$28,0),MATCH(B14,SBi!$C$1:$K$1,0))</f>
        <v>195.3</v>
      </c>
    </row>
    <row r="15" spans="1:3" x14ac:dyDescent="0.25">
      <c r="A15">
        <v>440</v>
      </c>
      <c r="B15">
        <v>0</v>
      </c>
      <c r="C15">
        <f>INDEX(SBi!$C$3:$K$28,MATCH(A15,SBi!$B$3:$B$28,0),MATCH(B15,SBi!$C$1:$K$1,0))</f>
        <v>170.7</v>
      </c>
    </row>
    <row r="16" spans="1:3" x14ac:dyDescent="0.25">
      <c r="A16">
        <v>490</v>
      </c>
      <c r="B16">
        <v>0</v>
      </c>
      <c r="C16">
        <f>INDEX(SBi!$C$3:$K$28,MATCH(A16,SBi!$B$3:$B$28,0),MATCH(B16,SBi!$C$1:$K$1,0))</f>
        <v>177.9</v>
      </c>
    </row>
    <row r="17" spans="1:3" x14ac:dyDescent="0.25">
      <c r="A17">
        <v>510</v>
      </c>
      <c r="B17">
        <v>0</v>
      </c>
      <c r="C17">
        <f>INDEX(SBi!$C$3:$K$28,MATCH(A17,SBi!$B$3:$B$28,0),MATCH(B17,SBi!$C$1:$K$1,0))</f>
        <v>205.8</v>
      </c>
    </row>
    <row r="18" spans="1:3" x14ac:dyDescent="0.25">
      <c r="A18">
        <v>520</v>
      </c>
      <c r="B18">
        <v>0</v>
      </c>
      <c r="C18">
        <f>INDEX(SBi!$C$3:$K$28,MATCH(A18,SBi!$B$3:$B$28,0),MATCH(B18,SBi!$C$1:$K$1,0))</f>
        <v>139.6</v>
      </c>
    </row>
    <row r="19" spans="1:3" x14ac:dyDescent="0.25">
      <c r="A19">
        <v>530</v>
      </c>
      <c r="B19">
        <v>0</v>
      </c>
      <c r="C19">
        <f>INDEX(SBi!$C$3:$K$28,MATCH(A19,SBi!$B$3:$B$28,0),MATCH(B19,SBi!$C$1:$K$1,0))</f>
        <v>198.1</v>
      </c>
    </row>
    <row r="20" spans="1:3" x14ac:dyDescent="0.25">
      <c r="A20">
        <v>540</v>
      </c>
      <c r="B20">
        <v>0</v>
      </c>
      <c r="C20">
        <f>INDEX(SBi!$C$3:$K$28,MATCH(A20,SBi!$B$3:$B$28,0),MATCH(B20,SBi!$C$1:$K$1,0))</f>
        <v>163.4</v>
      </c>
    </row>
    <row r="21" spans="1:3" x14ac:dyDescent="0.25">
      <c r="A21">
        <v>590</v>
      </c>
      <c r="B21">
        <v>0</v>
      </c>
      <c r="C21">
        <f>INDEX(SBi!$C$3:$K$28,MATCH(A21,SBi!$B$3:$B$28,0),MATCH(B21,SBi!$C$1:$K$1,0))</f>
        <v>163.4</v>
      </c>
    </row>
    <row r="22" spans="1:3" x14ac:dyDescent="0.25">
      <c r="A22">
        <v>180</v>
      </c>
      <c r="B22">
        <v>0</v>
      </c>
      <c r="C22">
        <f>INDEX(SBi!$C$3:$K$28,MATCH(A22,SBi!$B$3:$B$28,0),MATCH(B22,SBi!$C$1:$K$1,0))</f>
        <v>161.1</v>
      </c>
    </row>
    <row r="23" spans="1:3" x14ac:dyDescent="0.25">
      <c r="A23">
        <v>210</v>
      </c>
      <c r="B23">
        <v>0</v>
      </c>
      <c r="C23">
        <f>INDEX(SBi!$C$3:$K$28,MATCH(A23,SBi!$B$3:$B$28,0),MATCH(B23,SBi!$C$1:$K$1,0))</f>
        <v>45</v>
      </c>
    </row>
    <row r="24" spans="1:3" x14ac:dyDescent="0.25">
      <c r="A24">
        <v>220</v>
      </c>
      <c r="B24">
        <v>0</v>
      </c>
      <c r="C24">
        <f>INDEX(SBi!$C$3:$K$28,MATCH(A24,SBi!$B$3:$B$28,0),MATCH(B24,SBi!$C$1:$K$1,0))</f>
        <v>120</v>
      </c>
    </row>
    <row r="25" spans="1:3" x14ac:dyDescent="0.25">
      <c r="A25">
        <v>230</v>
      </c>
      <c r="B25">
        <v>0</v>
      </c>
      <c r="C25">
        <f>INDEX(SBi!$C$3:$K$28,MATCH(A25,SBi!$B$3:$B$28,0),MATCH(B25,SBi!$C$1:$K$1,0))</f>
        <v>120</v>
      </c>
    </row>
    <row r="26" spans="1:3" x14ac:dyDescent="0.25">
      <c r="A26">
        <v>290</v>
      </c>
      <c r="B26">
        <v>0</v>
      </c>
      <c r="C26">
        <f>INDEX(SBi!$C$3:$K$28,MATCH(A26,SBi!$B$3:$B$28,0),MATCH(B26,SBi!$C$1:$K$1,0))</f>
        <v>120</v>
      </c>
    </row>
    <row r="27" spans="1:3" x14ac:dyDescent="0.25">
      <c r="A27">
        <v>310</v>
      </c>
      <c r="B27">
        <v>0</v>
      </c>
      <c r="C27">
        <f>INDEX(SBi!$C$3:$K$28,MATCH(A27,SBi!$B$3:$B$28,0),MATCH(B27,SBi!$C$1:$K$1,0))</f>
        <v>124</v>
      </c>
    </row>
    <row r="28" spans="1:3" x14ac:dyDescent="0.25">
      <c r="A28">
        <v>110</v>
      </c>
      <c r="B28">
        <v>1890</v>
      </c>
      <c r="C28">
        <f>INDEX(SBi!$C$3:$K$28,MATCH(A28,SBi!$B$3:$B$28,0),MATCH(B28,SBi!$C$1:$K$1,0))</f>
        <v>171.4</v>
      </c>
    </row>
    <row r="29" spans="1:3" x14ac:dyDescent="0.25">
      <c r="A29">
        <v>120</v>
      </c>
      <c r="B29">
        <v>1890</v>
      </c>
      <c r="C29">
        <f>INDEX(SBi!$C$3:$K$28,MATCH(A29,SBi!$B$3:$B$28,0),MATCH(B29,SBi!$C$1:$K$1,0))</f>
        <v>164.7</v>
      </c>
    </row>
    <row r="30" spans="1:3" x14ac:dyDescent="0.25">
      <c r="A30">
        <v>130</v>
      </c>
      <c r="B30">
        <v>1890</v>
      </c>
      <c r="C30">
        <f>INDEX(SBi!$C$3:$K$28,MATCH(A30,SBi!$B$3:$B$28,0),MATCH(B30,SBi!$C$1:$K$1,0))</f>
        <v>157.69999999999999</v>
      </c>
    </row>
    <row r="31" spans="1:3" x14ac:dyDescent="0.25">
      <c r="A31">
        <v>140</v>
      </c>
      <c r="B31">
        <v>1890</v>
      </c>
      <c r="C31">
        <f>INDEX(SBi!$C$3:$K$28,MATCH(A31,SBi!$B$3:$B$28,0),MATCH(B31,SBi!$C$1:$K$1,0))</f>
        <v>153.9</v>
      </c>
    </row>
    <row r="32" spans="1:3" x14ac:dyDescent="0.25">
      <c r="A32">
        <v>150</v>
      </c>
      <c r="B32">
        <v>1890</v>
      </c>
      <c r="C32">
        <f>INDEX(SBi!$C$3:$K$28,MATCH(A32,SBi!$B$3:$B$28,0),MATCH(B32,SBi!$C$1:$K$1,0))</f>
        <v>149.19999999999999</v>
      </c>
    </row>
    <row r="33" spans="1:3" x14ac:dyDescent="0.25">
      <c r="A33">
        <v>160</v>
      </c>
      <c r="B33">
        <v>1890</v>
      </c>
      <c r="C33">
        <f>INDEX(SBi!$C$3:$K$28,MATCH(A33,SBi!$B$3:$B$28,0),MATCH(B33,SBi!$C$1:$K$1,0))</f>
        <v>161.9</v>
      </c>
    </row>
    <row r="34" spans="1:3" x14ac:dyDescent="0.25">
      <c r="A34">
        <v>190</v>
      </c>
      <c r="B34">
        <v>1890</v>
      </c>
      <c r="C34">
        <f>INDEX(SBi!$C$3:$K$28,MATCH(A34,SBi!$B$3:$B$28,0),MATCH(B34,SBi!$C$1:$K$1,0))</f>
        <v>165.7</v>
      </c>
    </row>
    <row r="35" spans="1:3" x14ac:dyDescent="0.25">
      <c r="A35">
        <v>320</v>
      </c>
      <c r="B35">
        <v>1890</v>
      </c>
      <c r="C35">
        <f>INDEX(SBi!$C$3:$K$28,MATCH(A35,SBi!$B$3:$B$28,0),MATCH(B35,SBi!$C$1:$K$1,0))</f>
        <v>125.2</v>
      </c>
    </row>
    <row r="36" spans="1:3" x14ac:dyDescent="0.25">
      <c r="A36">
        <v>330</v>
      </c>
      <c r="B36">
        <v>1890</v>
      </c>
      <c r="C36">
        <f>INDEX(SBi!$C$3:$K$28,MATCH(A36,SBi!$B$3:$B$28,0),MATCH(B36,SBi!$C$1:$K$1,0))</f>
        <v>166.5</v>
      </c>
    </row>
    <row r="37" spans="1:3" x14ac:dyDescent="0.25">
      <c r="A37">
        <v>390</v>
      </c>
      <c r="B37">
        <v>1890</v>
      </c>
      <c r="C37">
        <f>INDEX(SBi!$C$3:$K$28,MATCH(A37,SBi!$B$3:$B$28,0),MATCH(B37,SBi!$C$1:$K$1,0))</f>
        <v>119</v>
      </c>
    </row>
    <row r="38" spans="1:3" x14ac:dyDescent="0.25">
      <c r="A38">
        <v>410</v>
      </c>
      <c r="B38">
        <v>1890</v>
      </c>
      <c r="C38">
        <f>INDEX(SBi!$C$3:$K$28,MATCH(A38,SBi!$B$3:$B$28,0),MATCH(B38,SBi!$C$1:$K$1,0))</f>
        <v>156.1</v>
      </c>
    </row>
    <row r="39" spans="1:3" x14ac:dyDescent="0.25">
      <c r="A39">
        <v>420</v>
      </c>
      <c r="B39">
        <v>1890</v>
      </c>
      <c r="C39">
        <f>INDEX(SBi!$C$3:$K$28,MATCH(A39,SBi!$B$3:$B$28,0),MATCH(B39,SBi!$C$1:$K$1,0))</f>
        <v>136.30000000000001</v>
      </c>
    </row>
    <row r="40" spans="1:3" x14ac:dyDescent="0.25">
      <c r="A40">
        <v>430</v>
      </c>
      <c r="B40">
        <v>1890</v>
      </c>
      <c r="C40">
        <f>INDEX(SBi!$C$3:$K$28,MATCH(A40,SBi!$B$3:$B$28,0),MATCH(B40,SBi!$C$1:$K$1,0))</f>
        <v>178.4</v>
      </c>
    </row>
    <row r="41" spans="1:3" x14ac:dyDescent="0.25">
      <c r="A41">
        <v>440</v>
      </c>
      <c r="B41">
        <v>1890</v>
      </c>
      <c r="C41">
        <f>INDEX(SBi!$C$3:$K$28,MATCH(A41,SBi!$B$3:$B$28,0),MATCH(B41,SBi!$C$1:$K$1,0))</f>
        <v>181.7</v>
      </c>
    </row>
    <row r="42" spans="1:3" x14ac:dyDescent="0.25">
      <c r="A42">
        <v>490</v>
      </c>
      <c r="B42">
        <v>1890</v>
      </c>
      <c r="C42">
        <f>INDEX(SBi!$C$3:$K$28,MATCH(A42,SBi!$B$3:$B$28,0),MATCH(B42,SBi!$C$1:$K$1,0))</f>
        <v>175.8</v>
      </c>
    </row>
    <row r="43" spans="1:3" x14ac:dyDescent="0.25">
      <c r="A43">
        <v>510</v>
      </c>
      <c r="B43">
        <v>1890</v>
      </c>
      <c r="C43">
        <f>INDEX(SBi!$C$3:$K$28,MATCH(A43,SBi!$B$3:$B$28,0),MATCH(B43,SBi!$C$1:$K$1,0))</f>
        <v>162.5</v>
      </c>
    </row>
    <row r="44" spans="1:3" x14ac:dyDescent="0.25">
      <c r="A44">
        <v>520</v>
      </c>
      <c r="B44">
        <v>1890</v>
      </c>
      <c r="C44">
        <f>INDEX(SBi!$C$3:$K$28,MATCH(A44,SBi!$B$3:$B$28,0),MATCH(B44,SBi!$C$1:$K$1,0))</f>
        <v>150.5</v>
      </c>
    </row>
    <row r="45" spans="1:3" x14ac:dyDescent="0.25">
      <c r="A45">
        <v>530</v>
      </c>
      <c r="B45">
        <v>1890</v>
      </c>
      <c r="C45">
        <f>INDEX(SBi!$C$3:$K$28,MATCH(A45,SBi!$B$3:$B$28,0),MATCH(B45,SBi!$C$1:$K$1,0))</f>
        <v>206.8</v>
      </c>
    </row>
    <row r="46" spans="1:3" x14ac:dyDescent="0.25">
      <c r="A46">
        <v>540</v>
      </c>
      <c r="B46">
        <v>1890</v>
      </c>
      <c r="C46">
        <f>INDEX(SBi!$C$3:$K$28,MATCH(A46,SBi!$B$3:$B$28,0),MATCH(B46,SBi!$C$1:$K$1,0))</f>
        <v>132</v>
      </c>
    </row>
    <row r="47" spans="1:3" x14ac:dyDescent="0.25">
      <c r="A47">
        <v>590</v>
      </c>
      <c r="B47">
        <v>1890</v>
      </c>
      <c r="C47">
        <f>INDEX(SBi!$C$3:$K$28,MATCH(A47,SBi!$B$3:$B$28,0),MATCH(B47,SBi!$C$1:$K$1,0))</f>
        <v>132</v>
      </c>
    </row>
    <row r="48" spans="1:3" x14ac:dyDescent="0.25">
      <c r="A48">
        <v>180</v>
      </c>
      <c r="B48">
        <v>1890</v>
      </c>
      <c r="C48">
        <f>INDEX(SBi!$C$3:$K$28,MATCH(A48,SBi!$B$3:$B$28,0),MATCH(B48,SBi!$C$1:$K$1,0))</f>
        <v>165.7</v>
      </c>
    </row>
    <row r="49" spans="1:3" x14ac:dyDescent="0.25">
      <c r="A49">
        <v>210</v>
      </c>
      <c r="B49">
        <v>1890</v>
      </c>
      <c r="C49">
        <f>INDEX(SBi!$C$3:$K$28,MATCH(A49,SBi!$B$3:$B$28,0),MATCH(B49,SBi!$C$1:$K$1,0))</f>
        <v>45</v>
      </c>
    </row>
    <row r="50" spans="1:3" x14ac:dyDescent="0.25">
      <c r="A50">
        <v>220</v>
      </c>
      <c r="B50">
        <v>1890</v>
      </c>
      <c r="C50">
        <f>INDEX(SBi!$C$3:$K$28,MATCH(A50,SBi!$B$3:$B$28,0),MATCH(B50,SBi!$C$1:$K$1,0))</f>
        <v>120</v>
      </c>
    </row>
    <row r="51" spans="1:3" x14ac:dyDescent="0.25">
      <c r="A51">
        <v>230</v>
      </c>
      <c r="B51">
        <v>1890</v>
      </c>
      <c r="C51">
        <f>INDEX(SBi!$C$3:$K$28,MATCH(A51,SBi!$B$3:$B$28,0),MATCH(B51,SBi!$C$1:$K$1,0))</f>
        <v>120</v>
      </c>
    </row>
    <row r="52" spans="1:3" x14ac:dyDescent="0.25">
      <c r="A52">
        <v>290</v>
      </c>
      <c r="B52">
        <v>1890</v>
      </c>
      <c r="C52">
        <f>INDEX(SBi!$C$3:$K$28,MATCH(A52,SBi!$B$3:$B$28,0),MATCH(B52,SBi!$C$1:$K$1,0))</f>
        <v>120</v>
      </c>
    </row>
    <row r="53" spans="1:3" x14ac:dyDescent="0.25">
      <c r="A53">
        <v>310</v>
      </c>
      <c r="B53">
        <v>1890</v>
      </c>
      <c r="C53">
        <f>INDEX(SBi!$C$3:$K$28,MATCH(A53,SBi!$B$3:$B$28,0),MATCH(B53,SBi!$C$1:$K$1,0))</f>
        <v>124</v>
      </c>
    </row>
    <row r="54" spans="1:3" x14ac:dyDescent="0.25">
      <c r="A54">
        <v>110</v>
      </c>
      <c r="B54">
        <v>1931</v>
      </c>
      <c r="C54">
        <f>INDEX(SBi!$C$3:$K$28,MATCH(A54,SBi!$B$3:$B$28,0),MATCH(B54,SBi!$C$1:$K$1,0))</f>
        <v>161.80000000000001</v>
      </c>
    </row>
    <row r="55" spans="1:3" x14ac:dyDescent="0.25">
      <c r="A55">
        <v>120</v>
      </c>
      <c r="B55">
        <v>1931</v>
      </c>
      <c r="C55">
        <f>INDEX(SBi!$C$3:$K$28,MATCH(A55,SBi!$B$3:$B$28,0),MATCH(B55,SBi!$C$1:$K$1,0))</f>
        <v>164.1</v>
      </c>
    </row>
    <row r="56" spans="1:3" x14ac:dyDescent="0.25">
      <c r="A56">
        <v>130</v>
      </c>
      <c r="B56">
        <v>1931</v>
      </c>
      <c r="C56">
        <f>INDEX(SBi!$C$3:$K$28,MATCH(A56,SBi!$B$3:$B$28,0),MATCH(B56,SBi!$C$1:$K$1,0))</f>
        <v>149.30000000000001</v>
      </c>
    </row>
    <row r="57" spans="1:3" x14ac:dyDescent="0.25">
      <c r="A57">
        <v>140</v>
      </c>
      <c r="B57">
        <v>1931</v>
      </c>
      <c r="C57">
        <f>INDEX(SBi!$C$3:$K$28,MATCH(A57,SBi!$B$3:$B$28,0),MATCH(B57,SBi!$C$1:$K$1,0))</f>
        <v>157</v>
      </c>
    </row>
    <row r="58" spans="1:3" x14ac:dyDescent="0.25">
      <c r="A58">
        <v>150</v>
      </c>
      <c r="B58">
        <v>1931</v>
      </c>
      <c r="C58">
        <f>INDEX(SBi!$C$3:$K$28,MATCH(A58,SBi!$B$3:$B$28,0),MATCH(B58,SBi!$C$1:$K$1,0))</f>
        <v>136.4</v>
      </c>
    </row>
    <row r="59" spans="1:3" x14ac:dyDescent="0.25">
      <c r="A59">
        <v>160</v>
      </c>
      <c r="B59">
        <v>1931</v>
      </c>
      <c r="C59">
        <f>INDEX(SBi!$C$3:$K$28,MATCH(A59,SBi!$B$3:$B$28,0),MATCH(B59,SBi!$C$1:$K$1,0))</f>
        <v>152.30000000000001</v>
      </c>
    </row>
    <row r="60" spans="1:3" x14ac:dyDescent="0.25">
      <c r="A60">
        <v>190</v>
      </c>
      <c r="B60">
        <v>1931</v>
      </c>
      <c r="C60">
        <f>INDEX(SBi!$C$3:$K$28,MATCH(A60,SBi!$B$3:$B$28,0),MATCH(B60,SBi!$C$1:$K$1,0))</f>
        <v>158.4</v>
      </c>
    </row>
    <row r="61" spans="1:3" x14ac:dyDescent="0.25">
      <c r="A61">
        <v>320</v>
      </c>
      <c r="B61">
        <v>1931</v>
      </c>
      <c r="C61">
        <f>INDEX(SBi!$C$3:$K$28,MATCH(A61,SBi!$B$3:$B$28,0),MATCH(B61,SBi!$C$1:$K$1,0))</f>
        <v>129</v>
      </c>
    </row>
    <row r="62" spans="1:3" x14ac:dyDescent="0.25">
      <c r="A62">
        <v>330</v>
      </c>
      <c r="B62">
        <v>1931</v>
      </c>
      <c r="C62">
        <f>INDEX(SBi!$C$3:$K$28,MATCH(A62,SBi!$B$3:$B$28,0),MATCH(B62,SBi!$C$1:$K$1,0))</f>
        <v>152.4</v>
      </c>
    </row>
    <row r="63" spans="1:3" x14ac:dyDescent="0.25">
      <c r="A63">
        <v>390</v>
      </c>
      <c r="B63">
        <v>1931</v>
      </c>
      <c r="C63">
        <f>INDEX(SBi!$C$3:$K$28,MATCH(A63,SBi!$B$3:$B$28,0),MATCH(B63,SBi!$C$1:$K$1,0))</f>
        <v>123.6</v>
      </c>
    </row>
    <row r="64" spans="1:3" x14ac:dyDescent="0.25">
      <c r="A64">
        <v>410</v>
      </c>
      <c r="B64">
        <v>1931</v>
      </c>
      <c r="C64">
        <f>INDEX(SBi!$C$3:$K$28,MATCH(A64,SBi!$B$3:$B$28,0),MATCH(B64,SBi!$C$1:$K$1,0))</f>
        <v>156.5</v>
      </c>
    </row>
    <row r="65" spans="1:3" x14ac:dyDescent="0.25">
      <c r="A65">
        <v>420</v>
      </c>
      <c r="B65">
        <v>1931</v>
      </c>
      <c r="C65">
        <f>INDEX(SBi!$C$3:$K$28,MATCH(A65,SBi!$B$3:$B$28,0),MATCH(B65,SBi!$C$1:$K$1,0))</f>
        <v>141</v>
      </c>
    </row>
    <row r="66" spans="1:3" x14ac:dyDescent="0.25">
      <c r="A66">
        <v>430</v>
      </c>
      <c r="B66">
        <v>1931</v>
      </c>
      <c r="C66">
        <f>INDEX(SBi!$C$3:$K$28,MATCH(A66,SBi!$B$3:$B$28,0),MATCH(B66,SBi!$C$1:$K$1,0))</f>
        <v>173.2</v>
      </c>
    </row>
    <row r="67" spans="1:3" x14ac:dyDescent="0.25">
      <c r="A67">
        <v>440</v>
      </c>
      <c r="B67">
        <v>1931</v>
      </c>
      <c r="C67">
        <f>INDEX(SBi!$C$3:$K$28,MATCH(A67,SBi!$B$3:$B$28,0),MATCH(B67,SBi!$C$1:$K$1,0))</f>
        <v>173.8</v>
      </c>
    </row>
    <row r="68" spans="1:3" x14ac:dyDescent="0.25">
      <c r="A68">
        <v>490</v>
      </c>
      <c r="B68">
        <v>1931</v>
      </c>
      <c r="C68">
        <f>INDEX(SBi!$C$3:$K$28,MATCH(A68,SBi!$B$3:$B$28,0),MATCH(B68,SBi!$C$1:$K$1,0))</f>
        <v>178.2</v>
      </c>
    </row>
    <row r="69" spans="1:3" x14ac:dyDescent="0.25">
      <c r="A69">
        <v>510</v>
      </c>
      <c r="B69">
        <v>1931</v>
      </c>
      <c r="C69">
        <f>INDEX(SBi!$C$3:$K$28,MATCH(A69,SBi!$B$3:$B$28,0),MATCH(B69,SBi!$C$1:$K$1,0))</f>
        <v>150</v>
      </c>
    </row>
    <row r="70" spans="1:3" x14ac:dyDescent="0.25">
      <c r="A70">
        <v>520</v>
      </c>
      <c r="B70">
        <v>1931</v>
      </c>
      <c r="C70">
        <f>INDEX(SBi!$C$3:$K$28,MATCH(A70,SBi!$B$3:$B$28,0),MATCH(B70,SBi!$C$1:$K$1,0))</f>
        <v>172.4</v>
      </c>
    </row>
    <row r="71" spans="1:3" x14ac:dyDescent="0.25">
      <c r="A71">
        <v>530</v>
      </c>
      <c r="B71">
        <v>1931</v>
      </c>
      <c r="C71">
        <f>INDEX(SBi!$C$3:$K$28,MATCH(A71,SBi!$B$3:$B$28,0),MATCH(B71,SBi!$C$1:$K$1,0))</f>
        <v>187.8</v>
      </c>
    </row>
    <row r="72" spans="1:3" x14ac:dyDescent="0.25">
      <c r="A72">
        <v>540</v>
      </c>
      <c r="B72">
        <v>1931</v>
      </c>
      <c r="C72">
        <f>INDEX(SBi!$C$3:$K$28,MATCH(A72,SBi!$B$3:$B$28,0),MATCH(B72,SBi!$C$1:$K$1,0))</f>
        <v>149.69999999999999</v>
      </c>
    </row>
    <row r="73" spans="1:3" x14ac:dyDescent="0.25">
      <c r="A73">
        <v>590</v>
      </c>
      <c r="B73">
        <v>1931</v>
      </c>
      <c r="C73">
        <f>INDEX(SBi!$C$3:$K$28,MATCH(A73,SBi!$B$3:$B$28,0),MATCH(B73,SBi!$C$1:$K$1,0))</f>
        <v>149.69999999999999</v>
      </c>
    </row>
    <row r="74" spans="1:3" x14ac:dyDescent="0.25">
      <c r="A74">
        <v>180</v>
      </c>
      <c r="B74">
        <v>1931</v>
      </c>
      <c r="C74">
        <f>INDEX(SBi!$C$3:$K$28,MATCH(A74,SBi!$B$3:$B$28,0),MATCH(B74,SBi!$C$1:$K$1,0))</f>
        <v>158.4</v>
      </c>
    </row>
    <row r="75" spans="1:3" x14ac:dyDescent="0.25">
      <c r="A75">
        <v>210</v>
      </c>
      <c r="B75">
        <v>1931</v>
      </c>
      <c r="C75">
        <f>INDEX(SBi!$C$3:$K$28,MATCH(A75,SBi!$B$3:$B$28,0),MATCH(B75,SBi!$C$1:$K$1,0))</f>
        <v>45</v>
      </c>
    </row>
    <row r="76" spans="1:3" x14ac:dyDescent="0.25">
      <c r="A76">
        <v>220</v>
      </c>
      <c r="B76">
        <v>1931</v>
      </c>
      <c r="C76">
        <f>INDEX(SBi!$C$3:$K$28,MATCH(A76,SBi!$B$3:$B$28,0),MATCH(B76,SBi!$C$1:$K$1,0))</f>
        <v>120</v>
      </c>
    </row>
    <row r="77" spans="1:3" x14ac:dyDescent="0.25">
      <c r="A77">
        <v>230</v>
      </c>
      <c r="B77">
        <v>1931</v>
      </c>
      <c r="C77">
        <f>INDEX(SBi!$C$3:$K$28,MATCH(A77,SBi!$B$3:$B$28,0),MATCH(B77,SBi!$C$1:$K$1,0))</f>
        <v>120</v>
      </c>
    </row>
    <row r="78" spans="1:3" x14ac:dyDescent="0.25">
      <c r="A78">
        <v>290</v>
      </c>
      <c r="B78">
        <v>1931</v>
      </c>
      <c r="C78">
        <f>INDEX(SBi!$C$3:$K$28,MATCH(A78,SBi!$B$3:$B$28,0),MATCH(B78,SBi!$C$1:$K$1,0))</f>
        <v>120</v>
      </c>
    </row>
    <row r="79" spans="1:3" x14ac:dyDescent="0.25">
      <c r="A79">
        <v>310</v>
      </c>
      <c r="B79">
        <v>1931</v>
      </c>
      <c r="C79">
        <f>INDEX(SBi!$C$3:$K$28,MATCH(A79,SBi!$B$3:$B$28,0),MATCH(B79,SBi!$C$1:$K$1,0))</f>
        <v>124</v>
      </c>
    </row>
    <row r="80" spans="1:3" x14ac:dyDescent="0.25">
      <c r="A80">
        <v>110</v>
      </c>
      <c r="B80">
        <v>1951</v>
      </c>
      <c r="C80">
        <f>INDEX(SBi!$C$3:$K$28,MATCH(A80,SBi!$B$3:$B$28,0),MATCH(B80,SBi!$C$1:$K$1,0))</f>
        <v>151.19999999999999</v>
      </c>
    </row>
    <row r="81" spans="1:3" x14ac:dyDescent="0.25">
      <c r="A81">
        <v>120</v>
      </c>
      <c r="B81">
        <v>1951</v>
      </c>
      <c r="C81">
        <f>INDEX(SBi!$C$3:$K$28,MATCH(A81,SBi!$B$3:$B$28,0),MATCH(B81,SBi!$C$1:$K$1,0))</f>
        <v>154.9</v>
      </c>
    </row>
    <row r="82" spans="1:3" x14ac:dyDescent="0.25">
      <c r="A82">
        <v>130</v>
      </c>
      <c r="B82">
        <v>1951</v>
      </c>
      <c r="C82">
        <f>INDEX(SBi!$C$3:$K$28,MATCH(A82,SBi!$B$3:$B$28,0),MATCH(B82,SBi!$C$1:$K$1,0))</f>
        <v>142.80000000000001</v>
      </c>
    </row>
    <row r="83" spans="1:3" x14ac:dyDescent="0.25">
      <c r="A83">
        <v>140</v>
      </c>
      <c r="B83">
        <v>1951</v>
      </c>
      <c r="C83">
        <f>INDEX(SBi!$C$3:$K$28,MATCH(A83,SBi!$B$3:$B$28,0),MATCH(B83,SBi!$C$1:$K$1,0))</f>
        <v>148</v>
      </c>
    </row>
    <row r="84" spans="1:3" x14ac:dyDescent="0.25">
      <c r="A84">
        <v>150</v>
      </c>
      <c r="B84">
        <v>1951</v>
      </c>
      <c r="C84">
        <f>INDEX(SBi!$C$3:$K$28,MATCH(A84,SBi!$B$3:$B$28,0),MATCH(B84,SBi!$C$1:$K$1,0))</f>
        <v>145.69999999999999</v>
      </c>
    </row>
    <row r="85" spans="1:3" x14ac:dyDescent="0.25">
      <c r="A85">
        <v>160</v>
      </c>
      <c r="B85">
        <v>1951</v>
      </c>
      <c r="C85">
        <f>INDEX(SBi!$C$3:$K$28,MATCH(A85,SBi!$B$3:$B$28,0),MATCH(B85,SBi!$C$1:$K$1,0))</f>
        <v>140.19999999999999</v>
      </c>
    </row>
    <row r="86" spans="1:3" x14ac:dyDescent="0.25">
      <c r="A86">
        <v>190</v>
      </c>
      <c r="B86">
        <v>1951</v>
      </c>
      <c r="C86">
        <f>INDEX(SBi!$C$3:$K$28,MATCH(A86,SBi!$B$3:$B$28,0),MATCH(B86,SBi!$C$1:$K$1,0))</f>
        <v>161.4</v>
      </c>
    </row>
    <row r="87" spans="1:3" x14ac:dyDescent="0.25">
      <c r="A87">
        <v>320</v>
      </c>
      <c r="B87">
        <v>1951</v>
      </c>
      <c r="C87">
        <f>INDEX(SBi!$C$3:$K$28,MATCH(A87,SBi!$B$3:$B$28,0),MATCH(B87,SBi!$C$1:$K$1,0))</f>
        <v>126.7</v>
      </c>
    </row>
    <row r="88" spans="1:3" x14ac:dyDescent="0.25">
      <c r="A88">
        <v>330</v>
      </c>
      <c r="B88">
        <v>1951</v>
      </c>
      <c r="C88">
        <f>INDEX(SBi!$C$3:$K$28,MATCH(A88,SBi!$B$3:$B$28,0),MATCH(B88,SBi!$C$1:$K$1,0))</f>
        <v>160.9</v>
      </c>
    </row>
    <row r="89" spans="1:3" x14ac:dyDescent="0.25">
      <c r="A89">
        <v>390</v>
      </c>
      <c r="B89">
        <v>1951</v>
      </c>
      <c r="C89">
        <f>INDEX(SBi!$C$3:$K$28,MATCH(A89,SBi!$B$3:$B$28,0),MATCH(B89,SBi!$C$1:$K$1,0))</f>
        <v>107.4</v>
      </c>
    </row>
    <row r="90" spans="1:3" x14ac:dyDescent="0.25">
      <c r="A90">
        <v>410</v>
      </c>
      <c r="B90">
        <v>1951</v>
      </c>
      <c r="C90">
        <f>INDEX(SBi!$C$3:$K$28,MATCH(A90,SBi!$B$3:$B$28,0),MATCH(B90,SBi!$C$1:$K$1,0))</f>
        <v>139.19999999999999</v>
      </c>
    </row>
    <row r="91" spans="1:3" x14ac:dyDescent="0.25">
      <c r="A91">
        <v>420</v>
      </c>
      <c r="B91">
        <v>1951</v>
      </c>
      <c r="C91">
        <f>INDEX(SBi!$C$3:$K$28,MATCH(A91,SBi!$B$3:$B$28,0),MATCH(B91,SBi!$C$1:$K$1,0))</f>
        <v>133.80000000000001</v>
      </c>
    </row>
    <row r="92" spans="1:3" x14ac:dyDescent="0.25">
      <c r="A92">
        <v>430</v>
      </c>
      <c r="B92">
        <v>1951</v>
      </c>
      <c r="C92">
        <f>INDEX(SBi!$C$3:$K$28,MATCH(A92,SBi!$B$3:$B$28,0),MATCH(B92,SBi!$C$1:$K$1,0))</f>
        <v>177.3</v>
      </c>
    </row>
    <row r="93" spans="1:3" x14ac:dyDescent="0.25">
      <c r="A93">
        <v>440</v>
      </c>
      <c r="B93">
        <v>1951</v>
      </c>
      <c r="C93">
        <f>INDEX(SBi!$C$3:$K$28,MATCH(A93,SBi!$B$3:$B$28,0),MATCH(B93,SBi!$C$1:$K$1,0))</f>
        <v>171.6</v>
      </c>
    </row>
    <row r="94" spans="1:3" x14ac:dyDescent="0.25">
      <c r="A94">
        <v>490</v>
      </c>
      <c r="B94">
        <v>1951</v>
      </c>
      <c r="C94">
        <f>INDEX(SBi!$C$3:$K$28,MATCH(A94,SBi!$B$3:$B$28,0),MATCH(B94,SBi!$C$1:$K$1,0))</f>
        <v>201.7</v>
      </c>
    </row>
    <row r="95" spans="1:3" x14ac:dyDescent="0.25">
      <c r="A95">
        <v>510</v>
      </c>
      <c r="B95">
        <v>1951</v>
      </c>
      <c r="C95">
        <f>INDEX(SBi!$C$3:$K$28,MATCH(A95,SBi!$B$3:$B$28,0),MATCH(B95,SBi!$C$1:$K$1,0))</f>
        <v>176.7</v>
      </c>
    </row>
    <row r="96" spans="1:3" x14ac:dyDescent="0.25">
      <c r="A96">
        <v>520</v>
      </c>
      <c r="B96">
        <v>1951</v>
      </c>
      <c r="C96">
        <f>INDEX(SBi!$C$3:$K$28,MATCH(A96,SBi!$B$3:$B$28,0),MATCH(B96,SBi!$C$1:$K$1,0))</f>
        <v>112.1</v>
      </c>
    </row>
    <row r="97" spans="1:3" x14ac:dyDescent="0.25">
      <c r="A97">
        <v>530</v>
      </c>
      <c r="B97">
        <v>1951</v>
      </c>
      <c r="C97">
        <f>INDEX(SBi!$C$3:$K$28,MATCH(A97,SBi!$B$3:$B$28,0),MATCH(B97,SBi!$C$1:$K$1,0))</f>
        <v>173.4</v>
      </c>
    </row>
    <row r="98" spans="1:3" x14ac:dyDescent="0.25">
      <c r="A98">
        <v>540</v>
      </c>
      <c r="B98">
        <v>1951</v>
      </c>
      <c r="C98">
        <f>INDEX(SBi!$C$3:$K$28,MATCH(A98,SBi!$B$3:$B$28,0),MATCH(B98,SBi!$C$1:$K$1,0))</f>
        <v>154.69999999999999</v>
      </c>
    </row>
    <row r="99" spans="1:3" x14ac:dyDescent="0.25">
      <c r="A99">
        <v>590</v>
      </c>
      <c r="B99">
        <v>1951</v>
      </c>
      <c r="C99">
        <f>INDEX(SBi!$C$3:$K$28,MATCH(A99,SBi!$B$3:$B$28,0),MATCH(B99,SBi!$C$1:$K$1,0))</f>
        <v>154.69999999999999</v>
      </c>
    </row>
    <row r="100" spans="1:3" x14ac:dyDescent="0.25">
      <c r="A100">
        <v>180</v>
      </c>
      <c r="B100">
        <v>1951</v>
      </c>
      <c r="C100">
        <f>INDEX(SBi!$C$3:$K$28,MATCH(A100,SBi!$B$3:$B$28,0),MATCH(B100,SBi!$C$1:$K$1,0))</f>
        <v>161.4</v>
      </c>
    </row>
    <row r="101" spans="1:3" x14ac:dyDescent="0.25">
      <c r="A101">
        <v>210</v>
      </c>
      <c r="B101">
        <v>1951</v>
      </c>
      <c r="C101">
        <f>INDEX(SBi!$C$3:$K$28,MATCH(A101,SBi!$B$3:$B$28,0),MATCH(B101,SBi!$C$1:$K$1,0))</f>
        <v>45</v>
      </c>
    </row>
    <row r="102" spans="1:3" x14ac:dyDescent="0.25">
      <c r="A102">
        <v>220</v>
      </c>
      <c r="B102">
        <v>1951</v>
      </c>
      <c r="C102">
        <f>INDEX(SBi!$C$3:$K$28,MATCH(A102,SBi!$B$3:$B$28,0),MATCH(B102,SBi!$C$1:$K$1,0))</f>
        <v>120</v>
      </c>
    </row>
    <row r="103" spans="1:3" x14ac:dyDescent="0.25">
      <c r="A103">
        <v>230</v>
      </c>
      <c r="B103">
        <v>1951</v>
      </c>
      <c r="C103">
        <f>INDEX(SBi!$C$3:$K$28,MATCH(A103,SBi!$B$3:$B$28,0),MATCH(B103,SBi!$C$1:$K$1,0))</f>
        <v>120</v>
      </c>
    </row>
    <row r="104" spans="1:3" x14ac:dyDescent="0.25">
      <c r="A104">
        <v>290</v>
      </c>
      <c r="B104">
        <v>1951</v>
      </c>
      <c r="C104">
        <f>INDEX(SBi!$C$3:$K$28,MATCH(A104,SBi!$B$3:$B$28,0),MATCH(B104,SBi!$C$1:$K$1,0))</f>
        <v>120</v>
      </c>
    </row>
    <row r="105" spans="1:3" x14ac:dyDescent="0.25">
      <c r="A105">
        <v>310</v>
      </c>
      <c r="B105">
        <v>1951</v>
      </c>
      <c r="C105">
        <f>INDEX(SBi!$C$3:$K$28,MATCH(A105,SBi!$B$3:$B$28,0),MATCH(B105,SBi!$C$1:$K$1,0))</f>
        <v>124</v>
      </c>
    </row>
    <row r="106" spans="1:3" x14ac:dyDescent="0.25">
      <c r="A106">
        <v>110</v>
      </c>
      <c r="B106">
        <v>1961</v>
      </c>
      <c r="C106">
        <f>INDEX(SBi!$C$3:$K$28,MATCH(A106,SBi!$B$3:$B$28,0),MATCH(B106,SBi!$C$1:$K$1,0))</f>
        <v>136.19999999999999</v>
      </c>
    </row>
    <row r="107" spans="1:3" x14ac:dyDescent="0.25">
      <c r="A107">
        <v>120</v>
      </c>
      <c r="B107">
        <v>1961</v>
      </c>
      <c r="C107">
        <f>INDEX(SBi!$C$3:$K$28,MATCH(A107,SBi!$B$3:$B$28,0),MATCH(B107,SBi!$C$1:$K$1,0))</f>
        <v>134.30000000000001</v>
      </c>
    </row>
    <row r="108" spans="1:3" x14ac:dyDescent="0.25">
      <c r="A108">
        <v>130</v>
      </c>
      <c r="B108">
        <v>1961</v>
      </c>
      <c r="C108">
        <f>INDEX(SBi!$C$3:$K$28,MATCH(A108,SBi!$B$3:$B$28,0),MATCH(B108,SBi!$C$1:$K$1,0))</f>
        <v>119.9</v>
      </c>
    </row>
    <row r="109" spans="1:3" x14ac:dyDescent="0.25">
      <c r="A109">
        <v>140</v>
      </c>
      <c r="B109">
        <v>1961</v>
      </c>
      <c r="C109">
        <f>INDEX(SBi!$C$3:$K$28,MATCH(A109,SBi!$B$3:$B$28,0),MATCH(B109,SBi!$C$1:$K$1,0))</f>
        <v>132.30000000000001</v>
      </c>
    </row>
    <row r="110" spans="1:3" x14ac:dyDescent="0.25">
      <c r="A110">
        <v>150</v>
      </c>
      <c r="B110">
        <v>1961</v>
      </c>
      <c r="C110">
        <f>INDEX(SBi!$C$3:$K$28,MATCH(A110,SBi!$B$3:$B$28,0),MATCH(B110,SBi!$C$1:$K$1,0))</f>
        <v>130.6</v>
      </c>
    </row>
    <row r="111" spans="1:3" x14ac:dyDescent="0.25">
      <c r="A111">
        <v>160</v>
      </c>
      <c r="B111">
        <v>1961</v>
      </c>
      <c r="C111">
        <f>INDEX(SBi!$C$3:$K$28,MATCH(A111,SBi!$B$3:$B$28,0),MATCH(B111,SBi!$C$1:$K$1,0))</f>
        <v>143.19999999999999</v>
      </c>
    </row>
    <row r="112" spans="1:3" x14ac:dyDescent="0.25">
      <c r="A112">
        <v>190</v>
      </c>
      <c r="B112">
        <v>1961</v>
      </c>
      <c r="C112">
        <f>INDEX(SBi!$C$3:$K$28,MATCH(A112,SBi!$B$3:$B$28,0),MATCH(B112,SBi!$C$1:$K$1,0))</f>
        <v>135.80000000000001</v>
      </c>
    </row>
    <row r="113" spans="1:3" x14ac:dyDescent="0.25">
      <c r="A113">
        <v>320</v>
      </c>
      <c r="B113">
        <v>1961</v>
      </c>
      <c r="C113">
        <f>INDEX(SBi!$C$3:$K$28,MATCH(A113,SBi!$B$3:$B$28,0),MATCH(B113,SBi!$C$1:$K$1,0))</f>
        <v>117.5</v>
      </c>
    </row>
    <row r="114" spans="1:3" x14ac:dyDescent="0.25">
      <c r="A114">
        <v>330</v>
      </c>
      <c r="B114">
        <v>1961</v>
      </c>
      <c r="C114">
        <f>INDEX(SBi!$C$3:$K$28,MATCH(A114,SBi!$B$3:$B$28,0),MATCH(B114,SBi!$C$1:$K$1,0))</f>
        <v>157.19999999999999</v>
      </c>
    </row>
    <row r="115" spans="1:3" x14ac:dyDescent="0.25">
      <c r="A115">
        <v>390</v>
      </c>
      <c r="B115">
        <v>1961</v>
      </c>
      <c r="C115">
        <f>INDEX(SBi!$C$3:$K$28,MATCH(A115,SBi!$B$3:$B$28,0),MATCH(B115,SBi!$C$1:$K$1,0))</f>
        <v>125.7</v>
      </c>
    </row>
    <row r="116" spans="1:3" x14ac:dyDescent="0.25">
      <c r="A116">
        <v>410</v>
      </c>
      <c r="B116">
        <v>1961</v>
      </c>
      <c r="C116">
        <f>INDEX(SBi!$C$3:$K$28,MATCH(A116,SBi!$B$3:$B$28,0),MATCH(B116,SBi!$C$1:$K$1,0))</f>
        <v>125.8</v>
      </c>
    </row>
    <row r="117" spans="1:3" x14ac:dyDescent="0.25">
      <c r="A117">
        <v>420</v>
      </c>
      <c r="B117">
        <v>1961</v>
      </c>
      <c r="C117">
        <f>INDEX(SBi!$C$3:$K$28,MATCH(A117,SBi!$B$3:$B$28,0),MATCH(B117,SBi!$C$1:$K$1,0))</f>
        <v>135.1</v>
      </c>
    </row>
    <row r="118" spans="1:3" x14ac:dyDescent="0.25">
      <c r="A118">
        <v>430</v>
      </c>
      <c r="B118">
        <v>1961</v>
      </c>
      <c r="C118">
        <f>INDEX(SBi!$C$3:$K$28,MATCH(A118,SBi!$B$3:$B$28,0),MATCH(B118,SBi!$C$1:$K$1,0))</f>
        <v>153.80000000000001</v>
      </c>
    </row>
    <row r="119" spans="1:3" x14ac:dyDescent="0.25">
      <c r="A119">
        <v>440</v>
      </c>
      <c r="B119">
        <v>1961</v>
      </c>
      <c r="C119">
        <f>INDEX(SBi!$C$3:$K$28,MATCH(A119,SBi!$B$3:$B$28,0),MATCH(B119,SBi!$C$1:$K$1,0))</f>
        <v>172.8</v>
      </c>
    </row>
    <row r="120" spans="1:3" x14ac:dyDescent="0.25">
      <c r="A120">
        <v>490</v>
      </c>
      <c r="B120">
        <v>1961</v>
      </c>
      <c r="C120">
        <f>INDEX(SBi!$C$3:$K$28,MATCH(A120,SBi!$B$3:$B$28,0),MATCH(B120,SBi!$C$1:$K$1,0))</f>
        <v>179.1</v>
      </c>
    </row>
    <row r="121" spans="1:3" x14ac:dyDescent="0.25">
      <c r="A121">
        <v>510</v>
      </c>
      <c r="B121">
        <v>1961</v>
      </c>
      <c r="C121">
        <f>INDEX(SBi!$C$3:$K$28,MATCH(A121,SBi!$B$3:$B$28,0),MATCH(B121,SBi!$C$1:$K$1,0))</f>
        <v>154.6</v>
      </c>
    </row>
    <row r="122" spans="1:3" x14ac:dyDescent="0.25">
      <c r="A122">
        <v>520</v>
      </c>
      <c r="B122">
        <v>1961</v>
      </c>
      <c r="C122">
        <f>INDEX(SBi!$C$3:$K$28,MATCH(A122,SBi!$B$3:$B$28,0),MATCH(B122,SBi!$C$1:$K$1,0))</f>
        <v>137.9</v>
      </c>
    </row>
    <row r="123" spans="1:3" x14ac:dyDescent="0.25">
      <c r="A123">
        <v>530</v>
      </c>
      <c r="B123">
        <v>1961</v>
      </c>
      <c r="C123">
        <f>INDEX(SBi!$C$3:$K$28,MATCH(A123,SBi!$B$3:$B$28,0),MATCH(B123,SBi!$C$1:$K$1,0))</f>
        <v>165.3</v>
      </c>
    </row>
    <row r="124" spans="1:3" x14ac:dyDescent="0.25">
      <c r="A124">
        <v>540</v>
      </c>
      <c r="B124">
        <v>1961</v>
      </c>
      <c r="C124">
        <f>INDEX(SBi!$C$3:$K$28,MATCH(A124,SBi!$B$3:$B$28,0),MATCH(B124,SBi!$C$1:$K$1,0))</f>
        <v>129.80000000000001</v>
      </c>
    </row>
    <row r="125" spans="1:3" x14ac:dyDescent="0.25">
      <c r="A125">
        <v>590</v>
      </c>
      <c r="B125">
        <v>1961</v>
      </c>
      <c r="C125">
        <f>INDEX(SBi!$C$3:$K$28,MATCH(A125,SBi!$B$3:$B$28,0),MATCH(B125,SBi!$C$1:$K$1,0))</f>
        <v>129.80000000000001</v>
      </c>
    </row>
    <row r="126" spans="1:3" x14ac:dyDescent="0.25">
      <c r="A126">
        <v>180</v>
      </c>
      <c r="B126">
        <v>1961</v>
      </c>
      <c r="C126">
        <f>INDEX(SBi!$C$3:$K$28,MATCH(A126,SBi!$B$3:$B$28,0),MATCH(B126,SBi!$C$1:$K$1,0))</f>
        <v>135.80000000000001</v>
      </c>
    </row>
    <row r="127" spans="1:3" x14ac:dyDescent="0.25">
      <c r="A127">
        <v>210</v>
      </c>
      <c r="B127">
        <v>1961</v>
      </c>
      <c r="C127">
        <f>INDEX(SBi!$C$3:$K$28,MATCH(A127,SBi!$B$3:$B$28,0),MATCH(B127,SBi!$C$1:$K$1,0))</f>
        <v>33</v>
      </c>
    </row>
    <row r="128" spans="1:3" x14ac:dyDescent="0.25">
      <c r="A128">
        <v>220</v>
      </c>
      <c r="B128">
        <v>1961</v>
      </c>
      <c r="C128">
        <f>INDEX(SBi!$C$3:$K$28,MATCH(A128,SBi!$B$3:$B$28,0),MATCH(B128,SBi!$C$1:$K$1,0))</f>
        <v>97</v>
      </c>
    </row>
    <row r="129" spans="1:3" x14ac:dyDescent="0.25">
      <c r="A129">
        <v>230</v>
      </c>
      <c r="B129">
        <v>1961</v>
      </c>
      <c r="C129">
        <f>INDEX(SBi!$C$3:$K$28,MATCH(A129,SBi!$B$3:$B$28,0),MATCH(B129,SBi!$C$1:$K$1,0))</f>
        <v>97</v>
      </c>
    </row>
    <row r="130" spans="1:3" x14ac:dyDescent="0.25">
      <c r="A130">
        <v>290</v>
      </c>
      <c r="B130">
        <v>1961</v>
      </c>
      <c r="C130">
        <f>INDEX(SBi!$C$3:$K$28,MATCH(A130,SBi!$B$3:$B$28,0),MATCH(B130,SBi!$C$1:$K$1,0))</f>
        <v>97</v>
      </c>
    </row>
    <row r="131" spans="1:3" x14ac:dyDescent="0.25">
      <c r="A131">
        <v>310</v>
      </c>
      <c r="B131">
        <v>1961</v>
      </c>
      <c r="C131">
        <f>INDEX(SBi!$C$3:$K$28,MATCH(A131,SBi!$B$3:$B$28,0),MATCH(B131,SBi!$C$1:$K$1,0))</f>
        <v>100</v>
      </c>
    </row>
    <row r="132" spans="1:3" x14ac:dyDescent="0.25">
      <c r="A132">
        <v>110</v>
      </c>
      <c r="B132">
        <v>1973</v>
      </c>
      <c r="C132">
        <f>INDEX(SBi!$C$3:$K$28,MATCH(A132,SBi!$B$3:$B$28,0),MATCH(B132,SBi!$C$1:$K$1,0))</f>
        <v>116.9</v>
      </c>
    </row>
    <row r="133" spans="1:3" x14ac:dyDescent="0.25">
      <c r="A133">
        <v>120</v>
      </c>
      <c r="B133">
        <v>1973</v>
      </c>
      <c r="C133">
        <f>INDEX(SBi!$C$3:$K$28,MATCH(A133,SBi!$B$3:$B$28,0),MATCH(B133,SBi!$C$1:$K$1,0))</f>
        <v>119.8</v>
      </c>
    </row>
    <row r="134" spans="1:3" x14ac:dyDescent="0.25">
      <c r="A134">
        <v>130</v>
      </c>
      <c r="B134">
        <v>1973</v>
      </c>
      <c r="C134">
        <f>INDEX(SBi!$C$3:$K$28,MATCH(A134,SBi!$B$3:$B$28,0),MATCH(B134,SBi!$C$1:$K$1,0))</f>
        <v>112.6</v>
      </c>
    </row>
    <row r="135" spans="1:3" x14ac:dyDescent="0.25">
      <c r="A135">
        <v>140</v>
      </c>
      <c r="B135">
        <v>1973</v>
      </c>
      <c r="C135">
        <f>INDEX(SBi!$C$3:$K$28,MATCH(A135,SBi!$B$3:$B$28,0),MATCH(B135,SBi!$C$1:$K$1,0))</f>
        <v>121</v>
      </c>
    </row>
    <row r="136" spans="1:3" x14ac:dyDescent="0.25">
      <c r="A136">
        <v>150</v>
      </c>
      <c r="B136">
        <v>1973</v>
      </c>
      <c r="C136">
        <f>INDEX(SBi!$C$3:$K$28,MATCH(A136,SBi!$B$3:$B$28,0),MATCH(B136,SBi!$C$1:$K$1,0))</f>
        <v>139.1</v>
      </c>
    </row>
    <row r="137" spans="1:3" x14ac:dyDescent="0.25">
      <c r="A137">
        <v>160</v>
      </c>
      <c r="B137">
        <v>1973</v>
      </c>
      <c r="C137">
        <f>INDEX(SBi!$C$3:$K$28,MATCH(A137,SBi!$B$3:$B$28,0),MATCH(B137,SBi!$C$1:$K$1,0))</f>
        <v>136.9</v>
      </c>
    </row>
    <row r="138" spans="1:3" x14ac:dyDescent="0.25">
      <c r="A138">
        <v>190</v>
      </c>
      <c r="B138">
        <v>1973</v>
      </c>
      <c r="C138">
        <f>INDEX(SBi!$C$3:$K$28,MATCH(A138,SBi!$B$3:$B$28,0),MATCH(B138,SBi!$C$1:$K$1,0))</f>
        <v>132.69999999999999</v>
      </c>
    </row>
    <row r="139" spans="1:3" x14ac:dyDescent="0.25">
      <c r="A139">
        <v>320</v>
      </c>
      <c r="B139">
        <v>1973</v>
      </c>
      <c r="C139">
        <f>INDEX(SBi!$C$3:$K$28,MATCH(A139,SBi!$B$3:$B$28,0),MATCH(B139,SBi!$C$1:$K$1,0))</f>
        <v>120</v>
      </c>
    </row>
    <row r="140" spans="1:3" x14ac:dyDescent="0.25">
      <c r="A140">
        <v>330</v>
      </c>
      <c r="B140">
        <v>1973</v>
      </c>
      <c r="C140">
        <f>INDEX(SBi!$C$3:$K$28,MATCH(A140,SBi!$B$3:$B$28,0),MATCH(B140,SBi!$C$1:$K$1,0))</f>
        <v>172</v>
      </c>
    </row>
    <row r="141" spans="1:3" x14ac:dyDescent="0.25">
      <c r="A141">
        <v>390</v>
      </c>
      <c r="B141">
        <v>1973</v>
      </c>
      <c r="C141">
        <f>INDEX(SBi!$C$3:$K$28,MATCH(A141,SBi!$B$3:$B$28,0),MATCH(B141,SBi!$C$1:$K$1,0))</f>
        <v>139.9</v>
      </c>
    </row>
    <row r="142" spans="1:3" x14ac:dyDescent="0.25">
      <c r="A142">
        <v>410</v>
      </c>
      <c r="B142">
        <v>1973</v>
      </c>
      <c r="C142">
        <f>INDEX(SBi!$C$3:$K$28,MATCH(A142,SBi!$B$3:$B$28,0),MATCH(B142,SBi!$C$1:$K$1,0))</f>
        <v>118.4</v>
      </c>
    </row>
    <row r="143" spans="1:3" x14ac:dyDescent="0.25">
      <c r="A143">
        <v>420</v>
      </c>
      <c r="B143">
        <v>1973</v>
      </c>
      <c r="C143">
        <f>INDEX(SBi!$C$3:$K$28,MATCH(A143,SBi!$B$3:$B$28,0),MATCH(B143,SBi!$C$1:$K$1,0))</f>
        <v>145.6</v>
      </c>
    </row>
    <row r="144" spans="1:3" x14ac:dyDescent="0.25">
      <c r="A144">
        <v>430</v>
      </c>
      <c r="B144">
        <v>1973</v>
      </c>
      <c r="C144">
        <f>INDEX(SBi!$C$3:$K$28,MATCH(A144,SBi!$B$3:$B$28,0),MATCH(B144,SBi!$C$1:$K$1,0))</f>
        <v>156.5</v>
      </c>
    </row>
    <row r="145" spans="1:3" x14ac:dyDescent="0.25">
      <c r="A145">
        <v>440</v>
      </c>
      <c r="B145">
        <v>1973</v>
      </c>
      <c r="C145">
        <f>INDEX(SBi!$C$3:$K$28,MATCH(A145,SBi!$B$3:$B$28,0),MATCH(B145,SBi!$C$1:$K$1,0))</f>
        <v>166.1</v>
      </c>
    </row>
    <row r="146" spans="1:3" x14ac:dyDescent="0.25">
      <c r="A146">
        <v>490</v>
      </c>
      <c r="B146">
        <v>1973</v>
      </c>
      <c r="C146">
        <f>INDEX(SBi!$C$3:$K$28,MATCH(A146,SBi!$B$3:$B$28,0),MATCH(B146,SBi!$C$1:$K$1,0))</f>
        <v>169.1</v>
      </c>
    </row>
    <row r="147" spans="1:3" x14ac:dyDescent="0.25">
      <c r="A147">
        <v>510</v>
      </c>
      <c r="B147">
        <v>1973</v>
      </c>
      <c r="C147">
        <f>INDEX(SBi!$C$3:$K$28,MATCH(A147,SBi!$B$3:$B$28,0),MATCH(B147,SBi!$C$1:$K$1,0))</f>
        <v>126.6</v>
      </c>
    </row>
    <row r="148" spans="1:3" x14ac:dyDescent="0.25">
      <c r="A148">
        <v>520</v>
      </c>
      <c r="B148">
        <v>1973</v>
      </c>
      <c r="C148">
        <f>INDEX(SBi!$C$3:$K$28,MATCH(A148,SBi!$B$3:$B$28,0),MATCH(B148,SBi!$C$1:$K$1,0))</f>
        <v>122.1</v>
      </c>
    </row>
    <row r="149" spans="1:3" x14ac:dyDescent="0.25">
      <c r="A149">
        <v>530</v>
      </c>
      <c r="B149">
        <v>1973</v>
      </c>
      <c r="C149">
        <f>INDEX(SBi!$C$3:$K$28,MATCH(A149,SBi!$B$3:$B$28,0),MATCH(B149,SBi!$C$1:$K$1,0))</f>
        <v>163.1</v>
      </c>
    </row>
    <row r="150" spans="1:3" x14ac:dyDescent="0.25">
      <c r="A150">
        <v>540</v>
      </c>
      <c r="B150">
        <v>1973</v>
      </c>
      <c r="C150">
        <f>INDEX(SBi!$C$3:$K$28,MATCH(A150,SBi!$B$3:$B$28,0),MATCH(B150,SBi!$C$1:$K$1,0))</f>
        <v>129</v>
      </c>
    </row>
    <row r="151" spans="1:3" x14ac:dyDescent="0.25">
      <c r="A151">
        <v>590</v>
      </c>
      <c r="B151">
        <v>1973</v>
      </c>
      <c r="C151">
        <f>INDEX(SBi!$C$3:$K$28,MATCH(A151,SBi!$B$3:$B$28,0),MATCH(B151,SBi!$C$1:$K$1,0))</f>
        <v>129</v>
      </c>
    </row>
    <row r="152" spans="1:3" x14ac:dyDescent="0.25">
      <c r="A152">
        <v>180</v>
      </c>
      <c r="B152">
        <v>1973</v>
      </c>
      <c r="C152">
        <f>INDEX(SBi!$C$3:$K$28,MATCH(A152,SBi!$B$3:$B$28,0),MATCH(B152,SBi!$C$1:$K$1,0))</f>
        <v>132.69999999999999</v>
      </c>
    </row>
    <row r="153" spans="1:3" x14ac:dyDescent="0.25">
      <c r="A153">
        <v>210</v>
      </c>
      <c r="B153">
        <v>1973</v>
      </c>
      <c r="C153">
        <f>INDEX(SBi!$C$3:$K$28,MATCH(A153,SBi!$B$3:$B$28,0),MATCH(B153,SBi!$C$1:$K$1,0))</f>
        <v>33</v>
      </c>
    </row>
    <row r="154" spans="1:3" x14ac:dyDescent="0.25">
      <c r="A154">
        <v>220</v>
      </c>
      <c r="B154">
        <v>1973</v>
      </c>
      <c r="C154">
        <f>INDEX(SBi!$C$3:$K$28,MATCH(A154,SBi!$B$3:$B$28,0),MATCH(B154,SBi!$C$1:$K$1,0))</f>
        <v>97</v>
      </c>
    </row>
    <row r="155" spans="1:3" x14ac:dyDescent="0.25">
      <c r="A155">
        <v>230</v>
      </c>
      <c r="B155">
        <v>1973</v>
      </c>
      <c r="C155">
        <f>INDEX(SBi!$C$3:$K$28,MATCH(A155,SBi!$B$3:$B$28,0),MATCH(B155,SBi!$C$1:$K$1,0))</f>
        <v>97</v>
      </c>
    </row>
    <row r="156" spans="1:3" x14ac:dyDescent="0.25">
      <c r="A156">
        <v>290</v>
      </c>
      <c r="B156">
        <v>1973</v>
      </c>
      <c r="C156">
        <f>INDEX(SBi!$C$3:$K$28,MATCH(A156,SBi!$B$3:$B$28,0),MATCH(B156,SBi!$C$1:$K$1,0))</f>
        <v>97</v>
      </c>
    </row>
    <row r="157" spans="1:3" x14ac:dyDescent="0.25">
      <c r="A157">
        <v>310</v>
      </c>
      <c r="B157">
        <v>1973</v>
      </c>
      <c r="C157">
        <f>INDEX(SBi!$C$3:$K$28,MATCH(A157,SBi!$B$3:$B$28,0),MATCH(B157,SBi!$C$1:$K$1,0))</f>
        <v>100</v>
      </c>
    </row>
    <row r="158" spans="1:3" x14ac:dyDescent="0.25">
      <c r="A158">
        <v>110</v>
      </c>
      <c r="B158">
        <v>1979</v>
      </c>
      <c r="C158">
        <f>INDEX(SBi!$C$3:$K$28,MATCH(A158,SBi!$B$3:$B$28,0),MATCH(B158,SBi!$C$1:$K$1,0))</f>
        <v>100.3</v>
      </c>
    </row>
    <row r="159" spans="1:3" x14ac:dyDescent="0.25">
      <c r="A159">
        <v>120</v>
      </c>
      <c r="B159">
        <v>1979</v>
      </c>
      <c r="C159">
        <f>INDEX(SBi!$C$3:$K$28,MATCH(A159,SBi!$B$3:$B$28,0),MATCH(B159,SBi!$C$1:$K$1,0))</f>
        <v>105.4</v>
      </c>
    </row>
    <row r="160" spans="1:3" x14ac:dyDescent="0.25">
      <c r="A160">
        <v>130</v>
      </c>
      <c r="B160">
        <v>1979</v>
      </c>
      <c r="C160">
        <f>INDEX(SBi!$C$3:$K$28,MATCH(A160,SBi!$B$3:$B$28,0),MATCH(B160,SBi!$C$1:$K$1,0))</f>
        <v>96.8</v>
      </c>
    </row>
    <row r="161" spans="1:3" x14ac:dyDescent="0.25">
      <c r="A161">
        <v>140</v>
      </c>
      <c r="B161">
        <v>1979</v>
      </c>
      <c r="C161">
        <f>INDEX(SBi!$C$3:$K$28,MATCH(A161,SBi!$B$3:$B$28,0),MATCH(B161,SBi!$C$1:$K$1,0))</f>
        <v>108.5</v>
      </c>
    </row>
    <row r="162" spans="1:3" x14ac:dyDescent="0.25">
      <c r="A162">
        <v>150</v>
      </c>
      <c r="B162">
        <v>1979</v>
      </c>
      <c r="C162">
        <f>INDEX(SBi!$C$3:$K$28,MATCH(A162,SBi!$B$3:$B$28,0),MATCH(B162,SBi!$C$1:$K$1,0))</f>
        <v>131.69999999999999</v>
      </c>
    </row>
    <row r="163" spans="1:3" x14ac:dyDescent="0.25">
      <c r="A163">
        <v>160</v>
      </c>
      <c r="B163">
        <v>1979</v>
      </c>
      <c r="C163">
        <f>INDEX(SBi!$C$3:$K$28,MATCH(A163,SBi!$B$3:$B$28,0),MATCH(B163,SBi!$C$1:$K$1,0))</f>
        <v>116</v>
      </c>
    </row>
    <row r="164" spans="1:3" x14ac:dyDescent="0.25">
      <c r="A164">
        <v>190</v>
      </c>
      <c r="B164">
        <v>1979</v>
      </c>
      <c r="C164">
        <f>INDEX(SBi!$C$3:$K$28,MATCH(A164,SBi!$B$3:$B$28,0),MATCH(B164,SBi!$C$1:$K$1,0))</f>
        <v>101</v>
      </c>
    </row>
    <row r="165" spans="1:3" x14ac:dyDescent="0.25">
      <c r="A165">
        <v>320</v>
      </c>
      <c r="B165">
        <v>1979</v>
      </c>
      <c r="C165">
        <f>INDEX(SBi!$C$3:$K$28,MATCH(A165,SBi!$B$3:$B$28,0),MATCH(B165,SBi!$C$1:$K$1,0))</f>
        <v>103.3</v>
      </c>
    </row>
    <row r="166" spans="1:3" x14ac:dyDescent="0.25">
      <c r="A166">
        <v>330</v>
      </c>
      <c r="B166">
        <v>1979</v>
      </c>
      <c r="C166">
        <f>INDEX(SBi!$C$3:$K$28,MATCH(A166,SBi!$B$3:$B$28,0),MATCH(B166,SBi!$C$1:$K$1,0))</f>
        <v>141.80000000000001</v>
      </c>
    </row>
    <row r="167" spans="1:3" x14ac:dyDescent="0.25">
      <c r="A167">
        <v>390</v>
      </c>
      <c r="B167">
        <v>1979</v>
      </c>
      <c r="C167">
        <f>INDEX(SBi!$C$3:$K$28,MATCH(A167,SBi!$B$3:$B$28,0),MATCH(B167,SBi!$C$1:$K$1,0))</f>
        <v>116.6</v>
      </c>
    </row>
    <row r="168" spans="1:3" x14ac:dyDescent="0.25">
      <c r="A168">
        <v>410</v>
      </c>
      <c r="B168">
        <v>1979</v>
      </c>
      <c r="C168">
        <f>INDEX(SBi!$C$3:$K$28,MATCH(A168,SBi!$B$3:$B$28,0),MATCH(B168,SBi!$C$1:$K$1,0))</f>
        <v>131.19999999999999</v>
      </c>
    </row>
    <row r="169" spans="1:3" x14ac:dyDescent="0.25">
      <c r="A169">
        <v>420</v>
      </c>
      <c r="B169">
        <v>1979</v>
      </c>
      <c r="C169">
        <f>INDEX(SBi!$C$3:$K$28,MATCH(A169,SBi!$B$3:$B$28,0),MATCH(B169,SBi!$C$1:$K$1,0))</f>
        <v>115.1</v>
      </c>
    </row>
    <row r="170" spans="1:3" x14ac:dyDescent="0.25">
      <c r="A170">
        <v>430</v>
      </c>
      <c r="B170">
        <v>1979</v>
      </c>
      <c r="C170">
        <f>INDEX(SBi!$C$3:$K$28,MATCH(A170,SBi!$B$3:$B$28,0),MATCH(B170,SBi!$C$1:$K$1,0))</f>
        <v>149.6</v>
      </c>
    </row>
    <row r="171" spans="1:3" x14ac:dyDescent="0.25">
      <c r="A171">
        <v>440</v>
      </c>
      <c r="B171">
        <v>1979</v>
      </c>
      <c r="C171">
        <f>INDEX(SBi!$C$3:$K$28,MATCH(A171,SBi!$B$3:$B$28,0),MATCH(B171,SBi!$C$1:$K$1,0))</f>
        <v>143.5</v>
      </c>
    </row>
    <row r="172" spans="1:3" x14ac:dyDescent="0.25">
      <c r="A172">
        <v>490</v>
      </c>
      <c r="B172">
        <v>1979</v>
      </c>
      <c r="C172">
        <f>INDEX(SBi!$C$3:$K$28,MATCH(A172,SBi!$B$3:$B$28,0),MATCH(B172,SBi!$C$1:$K$1,0))</f>
        <v>139.4</v>
      </c>
    </row>
    <row r="173" spans="1:3" x14ac:dyDescent="0.25">
      <c r="A173">
        <v>510</v>
      </c>
      <c r="B173">
        <v>1979</v>
      </c>
      <c r="C173">
        <f>INDEX(SBi!$C$3:$K$28,MATCH(A173,SBi!$B$3:$B$28,0),MATCH(B173,SBi!$C$1:$K$1,0))</f>
        <v>134.80000000000001</v>
      </c>
    </row>
    <row r="174" spans="1:3" x14ac:dyDescent="0.25">
      <c r="A174">
        <v>520</v>
      </c>
      <c r="B174">
        <v>1979</v>
      </c>
      <c r="C174">
        <f>INDEX(SBi!$C$3:$K$28,MATCH(A174,SBi!$B$3:$B$28,0),MATCH(B174,SBi!$C$1:$K$1,0))</f>
        <v>125.4</v>
      </c>
    </row>
    <row r="175" spans="1:3" x14ac:dyDescent="0.25">
      <c r="A175">
        <v>530</v>
      </c>
      <c r="B175">
        <v>1979</v>
      </c>
      <c r="C175">
        <f>INDEX(SBi!$C$3:$K$28,MATCH(A175,SBi!$B$3:$B$28,0),MATCH(B175,SBi!$C$1:$K$1,0))</f>
        <v>155</v>
      </c>
    </row>
    <row r="176" spans="1:3" x14ac:dyDescent="0.25">
      <c r="A176">
        <v>540</v>
      </c>
      <c r="B176">
        <v>1979</v>
      </c>
      <c r="C176">
        <f>INDEX(SBi!$C$3:$K$28,MATCH(A176,SBi!$B$3:$B$28,0),MATCH(B176,SBi!$C$1:$K$1,0))</f>
        <v>115</v>
      </c>
    </row>
    <row r="177" spans="1:3" x14ac:dyDescent="0.25">
      <c r="A177">
        <v>590</v>
      </c>
      <c r="B177">
        <v>1979</v>
      </c>
      <c r="C177">
        <f>INDEX(SBi!$C$3:$K$28,MATCH(A177,SBi!$B$3:$B$28,0),MATCH(B177,SBi!$C$1:$K$1,0))</f>
        <v>115</v>
      </c>
    </row>
    <row r="178" spans="1:3" x14ac:dyDescent="0.25">
      <c r="A178">
        <v>180</v>
      </c>
      <c r="B178">
        <v>1979</v>
      </c>
      <c r="C178">
        <f>INDEX(SBi!$C$3:$K$28,MATCH(A178,SBi!$B$3:$B$28,0),MATCH(B178,SBi!$C$1:$K$1,0))</f>
        <v>101</v>
      </c>
    </row>
    <row r="179" spans="1:3" x14ac:dyDescent="0.25">
      <c r="A179">
        <v>210</v>
      </c>
      <c r="B179">
        <v>1979</v>
      </c>
      <c r="C179">
        <f>INDEX(SBi!$C$3:$K$28,MATCH(A179,SBi!$B$3:$B$28,0),MATCH(B179,SBi!$C$1:$K$1,0))</f>
        <v>22</v>
      </c>
    </row>
    <row r="180" spans="1:3" x14ac:dyDescent="0.25">
      <c r="A180">
        <v>220</v>
      </c>
      <c r="B180">
        <v>1979</v>
      </c>
      <c r="C180">
        <f>INDEX(SBi!$C$3:$K$28,MATCH(A180,SBi!$B$3:$B$28,0),MATCH(B180,SBi!$C$1:$K$1,0))</f>
        <v>66</v>
      </c>
    </row>
    <row r="181" spans="1:3" x14ac:dyDescent="0.25">
      <c r="A181">
        <v>230</v>
      </c>
      <c r="B181">
        <v>1979</v>
      </c>
      <c r="C181">
        <f>INDEX(SBi!$C$3:$K$28,MATCH(A181,SBi!$B$3:$B$28,0),MATCH(B181,SBi!$C$1:$K$1,0))</f>
        <v>66</v>
      </c>
    </row>
    <row r="182" spans="1:3" x14ac:dyDescent="0.25">
      <c r="A182">
        <v>290</v>
      </c>
      <c r="B182">
        <v>1979</v>
      </c>
      <c r="C182">
        <f>INDEX(SBi!$C$3:$K$28,MATCH(A182,SBi!$B$3:$B$28,0),MATCH(B182,SBi!$C$1:$K$1,0))</f>
        <v>66</v>
      </c>
    </row>
    <row r="183" spans="1:3" x14ac:dyDescent="0.25">
      <c r="A183">
        <v>310</v>
      </c>
      <c r="B183">
        <v>1979</v>
      </c>
      <c r="C183">
        <f>INDEX(SBi!$C$3:$K$28,MATCH(A183,SBi!$B$3:$B$28,0),MATCH(B183,SBi!$C$1:$K$1,0))</f>
        <v>68</v>
      </c>
    </row>
    <row r="184" spans="1:3" x14ac:dyDescent="0.25">
      <c r="A184">
        <v>110</v>
      </c>
      <c r="B184">
        <v>1999</v>
      </c>
      <c r="C184">
        <f>INDEX(SBi!$C$3:$K$28,MATCH(A184,SBi!$B$3:$B$28,0),MATCH(B184,SBi!$C$1:$K$1,0))</f>
        <v>81</v>
      </c>
    </row>
    <row r="185" spans="1:3" x14ac:dyDescent="0.25">
      <c r="A185">
        <v>120</v>
      </c>
      <c r="B185">
        <v>1999</v>
      </c>
      <c r="C185">
        <f>INDEX(SBi!$C$3:$K$28,MATCH(A185,SBi!$B$3:$B$28,0),MATCH(B185,SBi!$C$1:$K$1,0))</f>
        <v>83.9</v>
      </c>
    </row>
    <row r="186" spans="1:3" x14ac:dyDescent="0.25">
      <c r="A186">
        <v>130</v>
      </c>
      <c r="B186">
        <v>1999</v>
      </c>
      <c r="C186">
        <f>INDEX(SBi!$C$3:$K$28,MATCH(A186,SBi!$B$3:$B$28,0),MATCH(B186,SBi!$C$1:$K$1,0))</f>
        <v>81.5</v>
      </c>
    </row>
    <row r="187" spans="1:3" x14ac:dyDescent="0.25">
      <c r="A187">
        <v>140</v>
      </c>
      <c r="B187">
        <v>1999</v>
      </c>
      <c r="C187">
        <f>INDEX(SBi!$C$3:$K$28,MATCH(A187,SBi!$B$3:$B$28,0),MATCH(B187,SBi!$C$1:$K$1,0))</f>
        <v>84</v>
      </c>
    </row>
    <row r="188" spans="1:3" x14ac:dyDescent="0.25">
      <c r="A188">
        <v>150</v>
      </c>
      <c r="B188">
        <v>1999</v>
      </c>
      <c r="C188">
        <f>INDEX(SBi!$C$3:$K$28,MATCH(A188,SBi!$B$3:$B$28,0),MATCH(B188,SBi!$C$1:$K$1,0))</f>
        <v>84</v>
      </c>
    </row>
    <row r="189" spans="1:3" x14ac:dyDescent="0.25">
      <c r="A189">
        <v>160</v>
      </c>
      <c r="B189">
        <v>1999</v>
      </c>
      <c r="C189">
        <f>INDEX(SBi!$C$3:$K$28,MATCH(A189,SBi!$B$3:$B$28,0),MATCH(B189,SBi!$C$1:$K$1,0))</f>
        <v>94.1</v>
      </c>
    </row>
    <row r="190" spans="1:3" x14ac:dyDescent="0.25">
      <c r="A190">
        <v>190</v>
      </c>
      <c r="B190">
        <v>1999</v>
      </c>
      <c r="C190">
        <f>INDEX(SBi!$C$3:$K$28,MATCH(A190,SBi!$B$3:$B$28,0),MATCH(B190,SBi!$C$1:$K$1,0))</f>
        <v>80.400000000000006</v>
      </c>
    </row>
    <row r="191" spans="1:3" x14ac:dyDescent="0.25">
      <c r="A191">
        <v>320</v>
      </c>
      <c r="B191">
        <v>1999</v>
      </c>
      <c r="C191">
        <f>INDEX(SBi!$C$3:$K$28,MATCH(A191,SBi!$B$3:$B$28,0),MATCH(B191,SBi!$C$1:$K$1,0))</f>
        <v>89.6</v>
      </c>
    </row>
    <row r="192" spans="1:3" x14ac:dyDescent="0.25">
      <c r="A192">
        <v>330</v>
      </c>
      <c r="B192">
        <v>1999</v>
      </c>
      <c r="C192">
        <f>INDEX(SBi!$C$3:$K$28,MATCH(A192,SBi!$B$3:$B$28,0),MATCH(B192,SBi!$C$1:$K$1,0))</f>
        <v>122.6</v>
      </c>
    </row>
    <row r="193" spans="1:3" x14ac:dyDescent="0.25">
      <c r="A193">
        <v>390</v>
      </c>
      <c r="B193">
        <v>1999</v>
      </c>
      <c r="C193">
        <f>INDEX(SBi!$C$3:$K$28,MATCH(A193,SBi!$B$3:$B$28,0),MATCH(B193,SBi!$C$1:$K$1,0))</f>
        <v>102.7</v>
      </c>
    </row>
    <row r="194" spans="1:3" x14ac:dyDescent="0.25">
      <c r="A194">
        <v>410</v>
      </c>
      <c r="B194">
        <v>1999</v>
      </c>
      <c r="C194">
        <f>INDEX(SBi!$C$3:$K$28,MATCH(A194,SBi!$B$3:$B$28,0),MATCH(B194,SBi!$C$1:$K$1,0))</f>
        <v>105.1</v>
      </c>
    </row>
    <row r="195" spans="1:3" x14ac:dyDescent="0.25">
      <c r="A195">
        <v>420</v>
      </c>
      <c r="B195">
        <v>1999</v>
      </c>
      <c r="C195">
        <f>INDEX(SBi!$C$3:$K$28,MATCH(A195,SBi!$B$3:$B$28,0),MATCH(B195,SBi!$C$1:$K$1,0))</f>
        <v>100</v>
      </c>
    </row>
    <row r="196" spans="1:3" x14ac:dyDescent="0.25">
      <c r="A196">
        <v>430</v>
      </c>
      <c r="B196">
        <v>1999</v>
      </c>
      <c r="C196">
        <f>INDEX(SBi!$C$3:$K$28,MATCH(A196,SBi!$B$3:$B$28,0),MATCH(B196,SBi!$C$1:$K$1,0))</f>
        <v>138.6</v>
      </c>
    </row>
    <row r="197" spans="1:3" x14ac:dyDescent="0.25">
      <c r="A197">
        <v>440</v>
      </c>
      <c r="B197">
        <v>1999</v>
      </c>
      <c r="C197">
        <f>INDEX(SBi!$C$3:$K$28,MATCH(A197,SBi!$B$3:$B$28,0),MATCH(B197,SBi!$C$1:$K$1,0))</f>
        <v>133.9</v>
      </c>
    </row>
    <row r="198" spans="1:3" x14ac:dyDescent="0.25">
      <c r="A198">
        <v>490</v>
      </c>
      <c r="B198">
        <v>1999</v>
      </c>
      <c r="C198">
        <f>INDEX(SBi!$C$3:$K$28,MATCH(A198,SBi!$B$3:$B$28,0),MATCH(B198,SBi!$C$1:$K$1,0))</f>
        <v>135.30000000000001</v>
      </c>
    </row>
    <row r="199" spans="1:3" x14ac:dyDescent="0.25">
      <c r="A199">
        <v>510</v>
      </c>
      <c r="B199">
        <v>1999</v>
      </c>
      <c r="C199">
        <f>INDEX(SBi!$C$3:$K$28,MATCH(A199,SBi!$B$3:$B$28,0),MATCH(B199,SBi!$C$1:$K$1,0))</f>
        <v>90.8</v>
      </c>
    </row>
    <row r="200" spans="1:3" x14ac:dyDescent="0.25">
      <c r="A200">
        <v>520</v>
      </c>
      <c r="B200">
        <v>1999</v>
      </c>
      <c r="C200">
        <f>INDEX(SBi!$C$3:$K$28,MATCH(A200,SBi!$B$3:$B$28,0),MATCH(B200,SBi!$C$1:$K$1,0))</f>
        <v>68.900000000000006</v>
      </c>
    </row>
    <row r="201" spans="1:3" x14ac:dyDescent="0.25">
      <c r="A201">
        <v>530</v>
      </c>
      <c r="B201">
        <v>1999</v>
      </c>
      <c r="C201">
        <f>INDEX(SBi!$C$3:$K$28,MATCH(A201,SBi!$B$3:$B$28,0),MATCH(B201,SBi!$C$1:$K$1,0))</f>
        <v>138.30000000000001</v>
      </c>
    </row>
    <row r="202" spans="1:3" x14ac:dyDescent="0.25">
      <c r="A202">
        <v>540</v>
      </c>
      <c r="B202">
        <v>1999</v>
      </c>
      <c r="C202">
        <f>INDEX(SBi!$C$3:$K$28,MATCH(A202,SBi!$B$3:$B$28,0),MATCH(B202,SBi!$C$1:$K$1,0))</f>
        <v>98.6</v>
      </c>
    </row>
    <row r="203" spans="1:3" x14ac:dyDescent="0.25">
      <c r="A203">
        <v>590</v>
      </c>
      <c r="B203">
        <v>1999</v>
      </c>
      <c r="C203">
        <f>INDEX(SBi!$C$3:$K$28,MATCH(A203,SBi!$B$3:$B$28,0),MATCH(B203,SBi!$C$1:$K$1,0))</f>
        <v>98.6</v>
      </c>
    </row>
    <row r="204" spans="1:3" x14ac:dyDescent="0.25">
      <c r="A204">
        <v>180</v>
      </c>
      <c r="B204">
        <v>1999</v>
      </c>
      <c r="C204">
        <f>INDEX(SBi!$C$3:$K$28,MATCH(A204,SBi!$B$3:$B$28,0),MATCH(B204,SBi!$C$1:$K$1,0))</f>
        <v>80.400000000000006</v>
      </c>
    </row>
    <row r="205" spans="1:3" x14ac:dyDescent="0.25">
      <c r="A205">
        <v>210</v>
      </c>
      <c r="B205">
        <v>1999</v>
      </c>
      <c r="C205">
        <f>INDEX(SBi!$C$3:$K$28,MATCH(A205,SBi!$B$3:$B$28,0),MATCH(B205,SBi!$C$1:$K$1,0))</f>
        <v>22</v>
      </c>
    </row>
    <row r="206" spans="1:3" x14ac:dyDescent="0.25">
      <c r="A206">
        <v>220</v>
      </c>
      <c r="B206">
        <v>1999</v>
      </c>
      <c r="C206">
        <f>INDEX(SBi!$C$3:$K$28,MATCH(A206,SBi!$B$3:$B$28,0),MATCH(B206,SBi!$C$1:$K$1,0))</f>
        <v>66</v>
      </c>
    </row>
    <row r="207" spans="1:3" x14ac:dyDescent="0.25">
      <c r="A207">
        <v>230</v>
      </c>
      <c r="B207">
        <v>1999</v>
      </c>
      <c r="C207">
        <f>INDEX(SBi!$C$3:$K$28,MATCH(A207,SBi!$B$3:$B$28,0),MATCH(B207,SBi!$C$1:$K$1,0))</f>
        <v>66</v>
      </c>
    </row>
    <row r="208" spans="1:3" x14ac:dyDescent="0.25">
      <c r="A208">
        <v>290</v>
      </c>
      <c r="B208">
        <v>1999</v>
      </c>
      <c r="C208">
        <f>INDEX(SBi!$C$3:$K$28,MATCH(A208,SBi!$B$3:$B$28,0),MATCH(B208,SBi!$C$1:$K$1,0))</f>
        <v>66</v>
      </c>
    </row>
    <row r="209" spans="1:3" x14ac:dyDescent="0.25">
      <c r="A209">
        <v>310</v>
      </c>
      <c r="B209">
        <v>1999</v>
      </c>
      <c r="C209">
        <f>INDEX(SBi!$C$3:$K$28,MATCH(A209,SBi!$B$3:$B$28,0),MATCH(B209,SBi!$C$1:$K$1,0))</f>
        <v>68</v>
      </c>
    </row>
    <row r="210" spans="1:3" x14ac:dyDescent="0.25">
      <c r="A210">
        <v>110</v>
      </c>
      <c r="B210">
        <v>2007</v>
      </c>
      <c r="C210">
        <f>INDEX(SBi!$C$3:$K$28,MATCH(A210,SBi!$B$3:$B$28,0),MATCH(B210,SBi!$C$1:$K$1,0))</f>
        <v>66.599999999999994</v>
      </c>
    </row>
    <row r="211" spans="1:3" x14ac:dyDescent="0.25">
      <c r="A211">
        <v>120</v>
      </c>
      <c r="B211">
        <v>2007</v>
      </c>
      <c r="C211">
        <f>INDEX(SBi!$C$3:$K$28,MATCH(A211,SBi!$B$3:$B$28,0),MATCH(B211,SBi!$C$1:$K$1,0))</f>
        <v>67.3</v>
      </c>
    </row>
    <row r="212" spans="1:3" x14ac:dyDescent="0.25">
      <c r="A212">
        <v>130</v>
      </c>
      <c r="B212">
        <v>2007</v>
      </c>
      <c r="C212">
        <f>INDEX(SBi!$C$3:$K$28,MATCH(A212,SBi!$B$3:$B$28,0),MATCH(B212,SBi!$C$1:$K$1,0))</f>
        <v>66.400000000000006</v>
      </c>
    </row>
    <row r="213" spans="1:3" x14ac:dyDescent="0.25">
      <c r="A213">
        <v>140</v>
      </c>
      <c r="B213">
        <v>2007</v>
      </c>
      <c r="C213">
        <f>INDEX(SBi!$C$3:$K$28,MATCH(A213,SBi!$B$3:$B$28,0),MATCH(B213,SBi!$C$1:$K$1,0))</f>
        <v>60.7</v>
      </c>
    </row>
    <row r="214" spans="1:3" x14ac:dyDescent="0.25">
      <c r="A214">
        <v>150</v>
      </c>
      <c r="B214">
        <v>2007</v>
      </c>
      <c r="C214">
        <f>INDEX(SBi!$C$3:$K$28,MATCH(A214,SBi!$B$3:$B$28,0),MATCH(B214,SBi!$C$1:$K$1,0))</f>
        <v>58.2</v>
      </c>
    </row>
    <row r="215" spans="1:3" x14ac:dyDescent="0.25">
      <c r="A215">
        <v>160</v>
      </c>
      <c r="B215">
        <v>2007</v>
      </c>
      <c r="C215">
        <f>INDEX(SBi!$C$3:$K$28,MATCH(A215,SBi!$B$3:$B$28,0),MATCH(B215,SBi!$C$1:$K$1,0))</f>
        <v>63.3</v>
      </c>
    </row>
    <row r="216" spans="1:3" x14ac:dyDescent="0.25">
      <c r="A216">
        <v>190</v>
      </c>
      <c r="B216">
        <v>2007</v>
      </c>
      <c r="C216">
        <f>INDEX(SBi!$C$3:$K$28,MATCH(A216,SBi!$B$3:$B$28,0),MATCH(B216,SBi!$C$1:$K$1,0))</f>
        <v>66.599999999999994</v>
      </c>
    </row>
    <row r="217" spans="1:3" x14ac:dyDescent="0.25">
      <c r="A217">
        <v>320</v>
      </c>
      <c r="B217">
        <v>2007</v>
      </c>
      <c r="C217">
        <f>INDEX(SBi!$C$3:$K$28,MATCH(A217,SBi!$B$3:$B$28,0),MATCH(B217,SBi!$C$1:$K$1,0))</f>
        <v>82.8</v>
      </c>
    </row>
    <row r="218" spans="1:3" x14ac:dyDescent="0.25">
      <c r="A218">
        <v>330</v>
      </c>
      <c r="B218">
        <v>2007</v>
      </c>
      <c r="C218">
        <f>INDEX(SBi!$C$3:$K$28,MATCH(A218,SBi!$B$3:$B$28,0),MATCH(B218,SBi!$C$1:$K$1,0))</f>
        <v>121.1</v>
      </c>
    </row>
    <row r="219" spans="1:3" x14ac:dyDescent="0.25">
      <c r="A219">
        <v>390</v>
      </c>
      <c r="B219">
        <v>2007</v>
      </c>
      <c r="C219">
        <f>INDEX(SBi!$C$3:$K$28,MATCH(A219,SBi!$B$3:$B$28,0),MATCH(B219,SBi!$C$1:$K$1,0))</f>
        <v>96</v>
      </c>
    </row>
    <row r="220" spans="1:3" x14ac:dyDescent="0.25">
      <c r="A220">
        <v>410</v>
      </c>
      <c r="B220">
        <v>2007</v>
      </c>
      <c r="C220">
        <f>INDEX(SBi!$C$3:$K$28,MATCH(A220,SBi!$B$3:$B$28,0),MATCH(B220,SBi!$C$1:$K$1,0))</f>
        <v>96.6</v>
      </c>
    </row>
    <row r="221" spans="1:3" x14ac:dyDescent="0.25">
      <c r="A221">
        <v>420</v>
      </c>
      <c r="B221">
        <v>2007</v>
      </c>
      <c r="C221">
        <f>INDEX(SBi!$C$3:$K$28,MATCH(A221,SBi!$B$3:$B$28,0),MATCH(B221,SBi!$C$1:$K$1,0))</f>
        <v>86.2</v>
      </c>
    </row>
    <row r="222" spans="1:3" x14ac:dyDescent="0.25">
      <c r="A222">
        <v>430</v>
      </c>
      <c r="B222">
        <v>2007</v>
      </c>
      <c r="C222">
        <f>INDEX(SBi!$C$3:$K$28,MATCH(A222,SBi!$B$3:$B$28,0),MATCH(B222,SBi!$C$1:$K$1,0))</f>
        <v>129.69999999999999</v>
      </c>
    </row>
    <row r="223" spans="1:3" x14ac:dyDescent="0.25">
      <c r="A223">
        <v>440</v>
      </c>
      <c r="B223">
        <v>2007</v>
      </c>
      <c r="C223">
        <f>INDEX(SBi!$C$3:$K$28,MATCH(A223,SBi!$B$3:$B$28,0),MATCH(B223,SBi!$C$1:$K$1,0))</f>
        <v>115.9</v>
      </c>
    </row>
    <row r="224" spans="1:3" x14ac:dyDescent="0.25">
      <c r="A224">
        <v>490</v>
      </c>
      <c r="B224">
        <v>2007</v>
      </c>
      <c r="C224">
        <f>INDEX(SBi!$C$3:$K$28,MATCH(A224,SBi!$B$3:$B$28,0),MATCH(B224,SBi!$C$1:$K$1,0))</f>
        <v>117.6</v>
      </c>
    </row>
    <row r="225" spans="1:3" x14ac:dyDescent="0.25">
      <c r="A225">
        <v>510</v>
      </c>
      <c r="B225">
        <v>2007</v>
      </c>
      <c r="C225">
        <f>INDEX(SBi!$C$3:$K$28,MATCH(A225,SBi!$B$3:$B$28,0),MATCH(B225,SBi!$C$1:$K$1,0))</f>
        <v>73.099999999999994</v>
      </c>
    </row>
    <row r="226" spans="1:3" x14ac:dyDescent="0.25">
      <c r="A226">
        <v>520</v>
      </c>
      <c r="B226">
        <v>2007</v>
      </c>
      <c r="C226">
        <f>INDEX(SBi!$C$3:$K$28,MATCH(A226,SBi!$B$3:$B$28,0),MATCH(B226,SBi!$C$1:$K$1,0))</f>
        <v>35.9</v>
      </c>
    </row>
    <row r="227" spans="1:3" x14ac:dyDescent="0.25">
      <c r="A227">
        <v>530</v>
      </c>
      <c r="B227">
        <v>2007</v>
      </c>
      <c r="C227">
        <f>INDEX(SBi!$C$3:$K$28,MATCH(A227,SBi!$B$3:$B$28,0),MATCH(B227,SBi!$C$1:$K$1,0))</f>
        <v>119.3</v>
      </c>
    </row>
    <row r="228" spans="1:3" x14ac:dyDescent="0.25">
      <c r="A228">
        <v>540</v>
      </c>
      <c r="B228">
        <v>2007</v>
      </c>
      <c r="C228">
        <f>INDEX(SBi!$C$3:$K$28,MATCH(A228,SBi!$B$3:$B$28,0),MATCH(B228,SBi!$C$1:$K$1,0))</f>
        <v>76.8</v>
      </c>
    </row>
    <row r="229" spans="1:3" x14ac:dyDescent="0.25">
      <c r="A229">
        <v>590</v>
      </c>
      <c r="B229">
        <v>2007</v>
      </c>
      <c r="C229">
        <f>INDEX(SBi!$C$3:$K$28,MATCH(A229,SBi!$B$3:$B$28,0),MATCH(B229,SBi!$C$1:$K$1,0))</f>
        <v>76.8</v>
      </c>
    </row>
    <row r="230" spans="1:3" x14ac:dyDescent="0.25">
      <c r="A230">
        <v>180</v>
      </c>
      <c r="B230">
        <v>2007</v>
      </c>
      <c r="C230">
        <f>INDEX(SBi!$C$3:$K$28,MATCH(A230,SBi!$B$3:$B$28,0),MATCH(B230,SBi!$C$1:$K$1,0))</f>
        <v>66.599999999999994</v>
      </c>
    </row>
    <row r="231" spans="1:3" x14ac:dyDescent="0.25">
      <c r="A231">
        <v>210</v>
      </c>
      <c r="B231">
        <v>2007</v>
      </c>
      <c r="C231">
        <f>INDEX(SBi!$C$3:$K$28,MATCH(A231,SBi!$B$3:$B$28,0),MATCH(B231,SBi!$C$1:$K$1,0))</f>
        <v>22</v>
      </c>
    </row>
    <row r="232" spans="1:3" x14ac:dyDescent="0.25">
      <c r="A232">
        <v>220</v>
      </c>
      <c r="B232">
        <v>2007</v>
      </c>
      <c r="C232">
        <f>INDEX(SBi!$C$3:$K$28,MATCH(A232,SBi!$B$3:$B$28,0),MATCH(B232,SBi!$C$1:$K$1,0))</f>
        <v>66</v>
      </c>
    </row>
    <row r="233" spans="1:3" x14ac:dyDescent="0.25">
      <c r="A233">
        <v>230</v>
      </c>
      <c r="B233">
        <v>2007</v>
      </c>
      <c r="C233">
        <f>INDEX(SBi!$C$3:$K$28,MATCH(A233,SBi!$B$3:$B$28,0),MATCH(B233,SBi!$C$1:$K$1,0))</f>
        <v>66</v>
      </c>
    </row>
    <row r="234" spans="1:3" x14ac:dyDescent="0.25">
      <c r="A234">
        <v>290</v>
      </c>
      <c r="B234">
        <v>2007</v>
      </c>
      <c r="C234">
        <f>INDEX(SBi!$C$3:$K$28,MATCH(A234,SBi!$B$3:$B$28,0),MATCH(B234,SBi!$C$1:$K$1,0))</f>
        <v>66</v>
      </c>
    </row>
    <row r="235" spans="1:3" x14ac:dyDescent="0.25">
      <c r="A235">
        <v>310</v>
      </c>
      <c r="B235">
        <v>2007</v>
      </c>
      <c r="C235">
        <f>INDEX(SBi!$C$3:$K$28,MATCH(A235,SBi!$B$3:$B$28,0),MATCH(B235,SBi!$C$1:$K$1,0))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4BF80-6CAC-46E3-9906-ABD8EDA7AB4C}">
  <sheetPr codeName="Sheet8">
    <tabColor theme="0"/>
  </sheetPr>
  <dimension ref="A1:I27"/>
  <sheetViews>
    <sheetView workbookViewId="0">
      <selection activeCell="E24" sqref="E24"/>
    </sheetView>
  </sheetViews>
  <sheetFormatPr defaultRowHeight="15" x14ac:dyDescent="0.25"/>
  <cols>
    <col min="1" max="1" width="29.85546875" bestFit="1" customWidth="1"/>
  </cols>
  <sheetData>
    <row r="1" spans="1:9" x14ac:dyDescent="0.25">
      <c r="C1">
        <v>0</v>
      </c>
      <c r="D1">
        <v>1931</v>
      </c>
      <c r="E1">
        <v>1951</v>
      </c>
      <c r="F1">
        <v>1961</v>
      </c>
      <c r="G1">
        <v>1973</v>
      </c>
      <c r="H1">
        <v>1979</v>
      </c>
      <c r="I1">
        <v>1999</v>
      </c>
    </row>
    <row r="2" spans="1:9" x14ac:dyDescent="0.25">
      <c r="B2" t="s">
        <v>10</v>
      </c>
      <c r="C2" t="s">
        <v>204</v>
      </c>
      <c r="D2" t="s">
        <v>13</v>
      </c>
      <c r="E2" t="s">
        <v>14</v>
      </c>
      <c r="F2" t="s">
        <v>15</v>
      </c>
      <c r="G2" t="s">
        <v>16</v>
      </c>
      <c r="H2" t="s">
        <v>17</v>
      </c>
      <c r="I2" t="s">
        <v>205</v>
      </c>
    </row>
    <row r="3" spans="1:9" x14ac:dyDescent="0.25">
      <c r="A3" t="s">
        <v>181</v>
      </c>
      <c r="B3">
        <v>110</v>
      </c>
      <c r="C3">
        <v>211</v>
      </c>
      <c r="D3">
        <v>216</v>
      </c>
      <c r="E3">
        <v>207</v>
      </c>
      <c r="F3">
        <v>137</v>
      </c>
      <c r="G3">
        <v>103</v>
      </c>
      <c r="H3">
        <v>82</v>
      </c>
      <c r="I3">
        <v>73</v>
      </c>
    </row>
    <row r="4" spans="1:9" x14ac:dyDescent="0.25">
      <c r="A4" t="s">
        <v>182</v>
      </c>
      <c r="B4">
        <v>120</v>
      </c>
      <c r="C4">
        <v>209</v>
      </c>
      <c r="D4">
        <v>217</v>
      </c>
      <c r="E4">
        <v>204</v>
      </c>
      <c r="F4">
        <v>143</v>
      </c>
      <c r="G4">
        <v>117</v>
      </c>
      <c r="H4">
        <v>90</v>
      </c>
      <c r="I4">
        <v>72</v>
      </c>
    </row>
    <row r="5" spans="1:9" x14ac:dyDescent="0.25">
      <c r="A5" t="s">
        <v>183</v>
      </c>
      <c r="B5">
        <v>130</v>
      </c>
      <c r="C5">
        <v>175</v>
      </c>
      <c r="D5">
        <v>178</v>
      </c>
      <c r="E5">
        <v>162</v>
      </c>
      <c r="F5">
        <v>120</v>
      </c>
      <c r="G5">
        <v>98</v>
      </c>
      <c r="H5">
        <v>74</v>
      </c>
      <c r="I5">
        <v>65</v>
      </c>
    </row>
    <row r="6" spans="1:9" x14ac:dyDescent="0.25">
      <c r="A6" t="s">
        <v>208</v>
      </c>
      <c r="B6">
        <v>140</v>
      </c>
      <c r="C6">
        <v>168</v>
      </c>
      <c r="D6">
        <v>164</v>
      </c>
      <c r="E6">
        <v>144</v>
      </c>
      <c r="F6">
        <v>126</v>
      </c>
      <c r="G6">
        <v>102</v>
      </c>
      <c r="H6">
        <v>80</v>
      </c>
      <c r="I6">
        <v>64</v>
      </c>
    </row>
    <row r="7" spans="1:9" x14ac:dyDescent="0.25">
      <c r="A7" t="s">
        <v>184</v>
      </c>
      <c r="B7">
        <v>150</v>
      </c>
      <c r="C7">
        <v>188</v>
      </c>
      <c r="D7">
        <v>184</v>
      </c>
      <c r="E7">
        <v>164</v>
      </c>
      <c r="F7">
        <v>145</v>
      </c>
      <c r="G7">
        <v>122</v>
      </c>
      <c r="H7">
        <v>100</v>
      </c>
      <c r="I7">
        <v>84</v>
      </c>
    </row>
    <row r="8" spans="1:9" x14ac:dyDescent="0.25">
      <c r="A8" t="s">
        <v>185</v>
      </c>
      <c r="B8">
        <v>160</v>
      </c>
      <c r="C8">
        <v>268</v>
      </c>
      <c r="D8">
        <v>270</v>
      </c>
      <c r="E8">
        <v>268</v>
      </c>
      <c r="F8">
        <v>196</v>
      </c>
      <c r="G8">
        <v>196</v>
      </c>
      <c r="H8">
        <v>163</v>
      </c>
      <c r="I8">
        <v>161</v>
      </c>
    </row>
    <row r="9" spans="1:9" x14ac:dyDescent="0.25">
      <c r="A9" t="s">
        <v>186</v>
      </c>
      <c r="B9">
        <v>190</v>
      </c>
      <c r="C9">
        <v>228</v>
      </c>
      <c r="D9">
        <v>239</v>
      </c>
      <c r="E9">
        <v>223</v>
      </c>
      <c r="F9">
        <v>158</v>
      </c>
      <c r="G9">
        <v>132</v>
      </c>
      <c r="H9">
        <v>105</v>
      </c>
      <c r="I9">
        <v>86</v>
      </c>
    </row>
    <row r="10" spans="1:9" x14ac:dyDescent="0.25">
      <c r="A10" t="s">
        <v>187</v>
      </c>
      <c r="B10">
        <v>210</v>
      </c>
      <c r="C10">
        <v>45</v>
      </c>
      <c r="D10">
        <v>45</v>
      </c>
      <c r="E10">
        <v>45</v>
      </c>
      <c r="F10">
        <v>33</v>
      </c>
      <c r="G10">
        <v>33</v>
      </c>
      <c r="H10">
        <v>22</v>
      </c>
      <c r="I10">
        <v>22</v>
      </c>
    </row>
    <row r="11" spans="1:9" x14ac:dyDescent="0.25">
      <c r="A11" t="s">
        <v>188</v>
      </c>
      <c r="B11">
        <v>220</v>
      </c>
      <c r="C11">
        <v>120</v>
      </c>
      <c r="D11">
        <v>120</v>
      </c>
      <c r="E11">
        <v>120</v>
      </c>
      <c r="F11">
        <v>97</v>
      </c>
      <c r="G11">
        <v>97</v>
      </c>
      <c r="H11">
        <v>66</v>
      </c>
      <c r="I11">
        <v>66</v>
      </c>
    </row>
    <row r="12" spans="1:9" x14ac:dyDescent="0.25">
      <c r="A12" t="s">
        <v>189</v>
      </c>
      <c r="B12">
        <v>230</v>
      </c>
      <c r="C12">
        <v>120</v>
      </c>
      <c r="D12">
        <v>120</v>
      </c>
      <c r="E12">
        <v>120</v>
      </c>
      <c r="F12">
        <v>97</v>
      </c>
      <c r="G12">
        <v>97</v>
      </c>
      <c r="H12">
        <v>66</v>
      </c>
      <c r="I12">
        <v>66</v>
      </c>
    </row>
    <row r="13" spans="1:9" x14ac:dyDescent="0.25">
      <c r="A13" t="s">
        <v>190</v>
      </c>
      <c r="B13">
        <v>290</v>
      </c>
      <c r="C13">
        <v>120</v>
      </c>
      <c r="D13">
        <v>120</v>
      </c>
      <c r="E13">
        <v>120</v>
      </c>
      <c r="F13">
        <v>97</v>
      </c>
      <c r="G13">
        <v>97</v>
      </c>
      <c r="H13">
        <v>66</v>
      </c>
      <c r="I13">
        <v>66</v>
      </c>
    </row>
    <row r="14" spans="1:9" x14ac:dyDescent="0.25">
      <c r="A14" t="s">
        <v>191</v>
      </c>
      <c r="B14">
        <v>310</v>
      </c>
      <c r="C14">
        <v>124</v>
      </c>
      <c r="D14">
        <v>124</v>
      </c>
      <c r="E14">
        <v>124</v>
      </c>
      <c r="F14">
        <v>100</v>
      </c>
      <c r="G14">
        <v>100</v>
      </c>
      <c r="H14">
        <v>68</v>
      </c>
      <c r="I14">
        <v>68</v>
      </c>
    </row>
    <row r="15" spans="1:9" x14ac:dyDescent="0.25">
      <c r="A15" t="s">
        <v>192</v>
      </c>
      <c r="B15">
        <v>320</v>
      </c>
      <c r="C15">
        <v>126</v>
      </c>
      <c r="D15">
        <v>126</v>
      </c>
      <c r="E15">
        <v>126</v>
      </c>
      <c r="F15">
        <v>105</v>
      </c>
      <c r="G15">
        <v>105</v>
      </c>
      <c r="H15">
        <v>77</v>
      </c>
      <c r="I15">
        <v>77</v>
      </c>
    </row>
    <row r="16" spans="1:9" x14ac:dyDescent="0.25">
      <c r="A16" t="s">
        <v>193</v>
      </c>
      <c r="B16">
        <v>330</v>
      </c>
      <c r="C16">
        <v>226</v>
      </c>
      <c r="D16">
        <v>226</v>
      </c>
      <c r="E16">
        <v>226</v>
      </c>
      <c r="F16">
        <v>195</v>
      </c>
      <c r="G16">
        <v>195</v>
      </c>
      <c r="H16">
        <v>123</v>
      </c>
      <c r="I16">
        <v>123</v>
      </c>
    </row>
    <row r="17" spans="1:9" x14ac:dyDescent="0.25">
      <c r="A17" t="s">
        <v>194</v>
      </c>
      <c r="B17">
        <v>390</v>
      </c>
      <c r="C17">
        <v>112</v>
      </c>
      <c r="D17">
        <v>112</v>
      </c>
      <c r="E17">
        <v>112</v>
      </c>
      <c r="F17">
        <v>90</v>
      </c>
      <c r="G17">
        <v>90</v>
      </c>
      <c r="H17">
        <v>63</v>
      </c>
      <c r="I17">
        <v>63</v>
      </c>
    </row>
    <row r="18" spans="1:9" x14ac:dyDescent="0.25">
      <c r="A18" t="s">
        <v>195</v>
      </c>
      <c r="B18">
        <v>410</v>
      </c>
      <c r="C18">
        <v>140</v>
      </c>
      <c r="D18">
        <v>140</v>
      </c>
      <c r="E18">
        <v>140</v>
      </c>
      <c r="F18">
        <v>98</v>
      </c>
      <c r="G18">
        <v>98</v>
      </c>
      <c r="H18">
        <v>78</v>
      </c>
      <c r="I18">
        <v>78</v>
      </c>
    </row>
    <row r="19" spans="1:9" x14ac:dyDescent="0.25">
      <c r="A19" t="s">
        <v>196</v>
      </c>
      <c r="B19">
        <v>420</v>
      </c>
      <c r="C19">
        <v>162</v>
      </c>
      <c r="D19">
        <v>162</v>
      </c>
      <c r="E19">
        <v>162</v>
      </c>
      <c r="F19">
        <v>134</v>
      </c>
      <c r="G19">
        <v>134</v>
      </c>
      <c r="H19">
        <v>98</v>
      </c>
      <c r="I19">
        <v>98</v>
      </c>
    </row>
    <row r="20" spans="1:9" x14ac:dyDescent="0.25">
      <c r="A20" t="s">
        <v>197</v>
      </c>
      <c r="B20">
        <v>430</v>
      </c>
      <c r="C20">
        <v>215</v>
      </c>
      <c r="D20">
        <v>215</v>
      </c>
      <c r="E20">
        <v>215</v>
      </c>
      <c r="F20">
        <v>152</v>
      </c>
      <c r="G20">
        <v>152</v>
      </c>
      <c r="H20">
        <v>120</v>
      </c>
      <c r="I20">
        <v>120</v>
      </c>
    </row>
    <row r="21" spans="1:9" x14ac:dyDescent="0.25">
      <c r="A21" t="s">
        <v>198</v>
      </c>
      <c r="B21">
        <v>440</v>
      </c>
      <c r="C21">
        <v>236</v>
      </c>
      <c r="D21">
        <v>236</v>
      </c>
      <c r="E21">
        <v>236</v>
      </c>
      <c r="F21">
        <v>186</v>
      </c>
      <c r="G21">
        <v>186</v>
      </c>
      <c r="H21">
        <v>129</v>
      </c>
      <c r="I21">
        <v>129</v>
      </c>
    </row>
    <row r="22" spans="1:9" x14ac:dyDescent="0.25">
      <c r="A22" t="s">
        <v>199</v>
      </c>
      <c r="B22">
        <v>490</v>
      </c>
      <c r="C22">
        <v>215</v>
      </c>
      <c r="D22">
        <v>215</v>
      </c>
      <c r="E22">
        <v>215</v>
      </c>
      <c r="F22">
        <v>152</v>
      </c>
      <c r="G22">
        <v>152</v>
      </c>
      <c r="H22">
        <v>120</v>
      </c>
      <c r="I22">
        <v>120</v>
      </c>
    </row>
    <row r="23" spans="1:9" x14ac:dyDescent="0.25">
      <c r="A23" t="s">
        <v>200</v>
      </c>
      <c r="B23">
        <v>510</v>
      </c>
      <c r="C23">
        <v>74</v>
      </c>
      <c r="D23">
        <v>76</v>
      </c>
      <c r="E23">
        <v>74</v>
      </c>
      <c r="F23">
        <v>58</v>
      </c>
      <c r="G23">
        <v>58</v>
      </c>
      <c r="H23">
        <v>42</v>
      </c>
      <c r="I23">
        <v>40</v>
      </c>
    </row>
    <row r="24" spans="1:9" x14ac:dyDescent="0.25">
      <c r="A24" t="s">
        <v>201</v>
      </c>
      <c r="B24">
        <v>520</v>
      </c>
      <c r="C24">
        <v>55</v>
      </c>
      <c r="D24">
        <v>55</v>
      </c>
      <c r="E24">
        <v>55</v>
      </c>
      <c r="F24">
        <v>44</v>
      </c>
      <c r="G24">
        <v>44</v>
      </c>
      <c r="H24">
        <v>27</v>
      </c>
      <c r="I24">
        <v>27</v>
      </c>
    </row>
    <row r="25" spans="1:9" x14ac:dyDescent="0.25">
      <c r="A25" t="s">
        <v>202</v>
      </c>
      <c r="B25">
        <v>530</v>
      </c>
      <c r="C25">
        <v>132</v>
      </c>
      <c r="D25">
        <v>132</v>
      </c>
      <c r="E25">
        <v>132</v>
      </c>
      <c r="F25">
        <v>102</v>
      </c>
      <c r="G25">
        <v>102</v>
      </c>
      <c r="H25">
        <v>72</v>
      </c>
      <c r="I25">
        <v>72</v>
      </c>
    </row>
    <row r="26" spans="1:9" x14ac:dyDescent="0.25">
      <c r="A26" t="s">
        <v>203</v>
      </c>
      <c r="B26">
        <v>540</v>
      </c>
      <c r="C26">
        <v>53</v>
      </c>
      <c r="D26">
        <v>53</v>
      </c>
      <c r="E26">
        <v>53</v>
      </c>
      <c r="F26">
        <v>42</v>
      </c>
      <c r="G26">
        <v>42</v>
      </c>
      <c r="H26">
        <v>26</v>
      </c>
      <c r="I26">
        <v>26</v>
      </c>
    </row>
    <row r="27" spans="1:9" x14ac:dyDescent="0.25">
      <c r="A27" t="s">
        <v>159</v>
      </c>
      <c r="B27">
        <v>590</v>
      </c>
      <c r="C27">
        <v>53</v>
      </c>
      <c r="D27">
        <v>53</v>
      </c>
      <c r="E27">
        <v>53</v>
      </c>
      <c r="F27">
        <v>42</v>
      </c>
      <c r="G27">
        <v>42</v>
      </c>
      <c r="H27">
        <v>26</v>
      </c>
      <c r="I27">
        <v>26</v>
      </c>
    </row>
  </sheetData>
  <pageMargins left="0.7" right="0.7" top="0.75" bottom="0.75" header="0.3" footer="0.3"/>
  <pageSetup paperSize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1" max="1" width="2" bestFit="1" customWidth="1"/>
    <col min="2" max="2" width="58.85546875" bestFit="1" customWidth="1"/>
  </cols>
  <sheetData>
    <row r="1" spans="1:2" x14ac:dyDescent="0.25">
      <c r="A1">
        <v>1</v>
      </c>
      <c r="B1" t="s">
        <v>46</v>
      </c>
    </row>
    <row r="2" spans="1:2" x14ac:dyDescent="0.25">
      <c r="A2">
        <v>2</v>
      </c>
      <c r="B2" t="s">
        <v>47</v>
      </c>
    </row>
    <row r="3" spans="1:2" x14ac:dyDescent="0.25">
      <c r="A3">
        <v>3</v>
      </c>
      <c r="B3" t="s">
        <v>48</v>
      </c>
    </row>
    <row r="4" spans="1:2" x14ac:dyDescent="0.25">
      <c r="A4">
        <v>4</v>
      </c>
      <c r="B4" t="s">
        <v>49</v>
      </c>
    </row>
    <row r="5" spans="1:2" x14ac:dyDescent="0.25">
      <c r="A5">
        <v>6</v>
      </c>
      <c r="B5" t="s">
        <v>50</v>
      </c>
    </row>
    <row r="6" spans="1:2" x14ac:dyDescent="0.25">
      <c r="A6">
        <v>7</v>
      </c>
      <c r="B6" t="s">
        <v>51</v>
      </c>
    </row>
    <row r="7" spans="1:2" x14ac:dyDescent="0.25">
      <c r="A7">
        <v>9</v>
      </c>
      <c r="B7" t="s">
        <v>52</v>
      </c>
    </row>
    <row r="8" spans="1:2" x14ac:dyDescent="0.25">
      <c r="B8" t="s">
        <v>53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theme="0"/>
  </sheetPr>
  <dimension ref="A1:D101"/>
  <sheetViews>
    <sheetView topLeftCell="A92" workbookViewId="0">
      <selection activeCell="A93" sqref="A93"/>
    </sheetView>
  </sheetViews>
  <sheetFormatPr defaultRowHeight="15" x14ac:dyDescent="0.25"/>
  <cols>
    <col min="1" max="1" width="9.85546875" bestFit="1" customWidth="1"/>
    <col min="2" max="2" width="127.140625" bestFit="1" customWidth="1"/>
    <col min="3" max="3" width="78" bestFit="1" customWidth="1"/>
    <col min="4" max="4" width="41.7109375" bestFit="1" customWidth="1"/>
  </cols>
  <sheetData>
    <row r="1" spans="1:4" x14ac:dyDescent="0.25">
      <c r="A1" t="s">
        <v>10</v>
      </c>
      <c r="B1" t="s">
        <v>54</v>
      </c>
      <c r="C1" t="s">
        <v>55</v>
      </c>
      <c r="D1" t="s">
        <v>56</v>
      </c>
    </row>
    <row r="2" spans="1:4" x14ac:dyDescent="0.25">
      <c r="A2">
        <v>110</v>
      </c>
      <c r="B2" t="s">
        <v>57</v>
      </c>
      <c r="C2" t="s">
        <v>57</v>
      </c>
      <c r="D2" t="s">
        <v>58</v>
      </c>
    </row>
    <row r="3" spans="1:4" x14ac:dyDescent="0.25">
      <c r="A3">
        <v>120</v>
      </c>
      <c r="B3" t="s">
        <v>59</v>
      </c>
      <c r="C3" t="s">
        <v>60</v>
      </c>
      <c r="D3" t="s">
        <v>58</v>
      </c>
    </row>
    <row r="4" spans="1:4" x14ac:dyDescent="0.25">
      <c r="A4">
        <v>130</v>
      </c>
      <c r="B4" t="s">
        <v>61</v>
      </c>
      <c r="C4" t="s">
        <v>62</v>
      </c>
      <c r="D4" t="s">
        <v>58</v>
      </c>
    </row>
    <row r="5" spans="1:4" x14ac:dyDescent="0.25">
      <c r="A5">
        <v>131</v>
      </c>
      <c r="B5" t="s">
        <v>63</v>
      </c>
      <c r="C5" t="s">
        <v>62</v>
      </c>
      <c r="D5" t="s">
        <v>58</v>
      </c>
    </row>
    <row r="6" spans="1:4" x14ac:dyDescent="0.25">
      <c r="A6">
        <v>132</v>
      </c>
      <c r="B6" t="s">
        <v>64</v>
      </c>
      <c r="C6" t="s">
        <v>62</v>
      </c>
      <c r="D6" t="s">
        <v>58</v>
      </c>
    </row>
    <row r="7" spans="1:4" x14ac:dyDescent="0.25">
      <c r="A7">
        <v>140</v>
      </c>
      <c r="B7" t="s">
        <v>65</v>
      </c>
      <c r="C7" t="s">
        <v>65</v>
      </c>
      <c r="D7" t="s">
        <v>58</v>
      </c>
    </row>
    <row r="8" spans="1:4" x14ac:dyDescent="0.25">
      <c r="A8">
        <v>150</v>
      </c>
      <c r="B8" t="s">
        <v>66</v>
      </c>
      <c r="C8" t="s">
        <v>66</v>
      </c>
      <c r="D8" t="s">
        <v>58</v>
      </c>
    </row>
    <row r="9" spans="1:4" x14ac:dyDescent="0.25">
      <c r="A9">
        <v>160</v>
      </c>
      <c r="B9" t="s">
        <v>67</v>
      </c>
      <c r="C9" t="s">
        <v>67</v>
      </c>
      <c r="D9" t="s">
        <v>68</v>
      </c>
    </row>
    <row r="10" spans="1:4" x14ac:dyDescent="0.25">
      <c r="A10">
        <v>185</v>
      </c>
      <c r="B10" t="s">
        <v>69</v>
      </c>
      <c r="C10" t="s">
        <v>60</v>
      </c>
      <c r="D10" t="s">
        <v>58</v>
      </c>
    </row>
    <row r="11" spans="1:4" x14ac:dyDescent="0.25">
      <c r="A11">
        <v>190</v>
      </c>
      <c r="B11" t="s">
        <v>70</v>
      </c>
      <c r="C11" t="s">
        <v>70</v>
      </c>
      <c r="D11" t="s">
        <v>58</v>
      </c>
    </row>
    <row r="12" spans="1:4" x14ac:dyDescent="0.25">
      <c r="A12">
        <v>210</v>
      </c>
      <c r="B12" t="s">
        <v>71</v>
      </c>
      <c r="C12" t="s">
        <v>41</v>
      </c>
      <c r="D12" t="s">
        <v>72</v>
      </c>
    </row>
    <row r="13" spans="1:4" x14ac:dyDescent="0.25">
      <c r="A13">
        <v>211</v>
      </c>
      <c r="B13" t="s">
        <v>73</v>
      </c>
      <c r="C13" t="s">
        <v>41</v>
      </c>
      <c r="D13" t="s">
        <v>72</v>
      </c>
    </row>
    <row r="14" spans="1:4" x14ac:dyDescent="0.25">
      <c r="A14">
        <v>212</v>
      </c>
      <c r="B14" t="s">
        <v>74</v>
      </c>
      <c r="C14" t="s">
        <v>41</v>
      </c>
      <c r="D14" t="s">
        <v>72</v>
      </c>
    </row>
    <row r="15" spans="1:4" x14ac:dyDescent="0.25">
      <c r="A15">
        <v>213</v>
      </c>
      <c r="B15" t="s">
        <v>75</v>
      </c>
      <c r="C15" t="s">
        <v>41</v>
      </c>
      <c r="D15" t="s">
        <v>72</v>
      </c>
    </row>
    <row r="16" spans="1:4" x14ac:dyDescent="0.25">
      <c r="A16">
        <v>214</v>
      </c>
      <c r="B16" t="s">
        <v>76</v>
      </c>
      <c r="C16" t="s">
        <v>41</v>
      </c>
      <c r="D16" t="s">
        <v>72</v>
      </c>
    </row>
    <row r="17" spans="1:4" x14ac:dyDescent="0.25">
      <c r="A17">
        <v>215</v>
      </c>
      <c r="B17" t="s">
        <v>77</v>
      </c>
      <c r="C17" t="s">
        <v>41</v>
      </c>
      <c r="D17" t="s">
        <v>72</v>
      </c>
    </row>
    <row r="18" spans="1:4" x14ac:dyDescent="0.25">
      <c r="A18">
        <v>216</v>
      </c>
      <c r="B18" t="s">
        <v>78</v>
      </c>
      <c r="C18" t="s">
        <v>41</v>
      </c>
      <c r="D18" t="s">
        <v>72</v>
      </c>
    </row>
    <row r="19" spans="1:4" x14ac:dyDescent="0.25">
      <c r="A19">
        <v>217</v>
      </c>
      <c r="B19" t="s">
        <v>79</v>
      </c>
      <c r="C19" t="s">
        <v>41</v>
      </c>
      <c r="D19" t="s">
        <v>72</v>
      </c>
    </row>
    <row r="20" spans="1:4" x14ac:dyDescent="0.25">
      <c r="A20">
        <v>218</v>
      </c>
      <c r="B20" t="s">
        <v>80</v>
      </c>
      <c r="C20" t="s">
        <v>41</v>
      </c>
      <c r="D20" t="s">
        <v>72</v>
      </c>
    </row>
    <row r="21" spans="1:4" x14ac:dyDescent="0.25">
      <c r="A21">
        <v>219</v>
      </c>
      <c r="B21" t="s">
        <v>81</v>
      </c>
      <c r="C21" t="s">
        <v>41</v>
      </c>
      <c r="D21" t="s">
        <v>72</v>
      </c>
    </row>
    <row r="22" spans="1:4" x14ac:dyDescent="0.25">
      <c r="A22">
        <v>220</v>
      </c>
      <c r="B22" t="s">
        <v>82</v>
      </c>
      <c r="C22" t="s">
        <v>42</v>
      </c>
      <c r="D22" t="s">
        <v>83</v>
      </c>
    </row>
    <row r="23" spans="1:4" x14ac:dyDescent="0.25">
      <c r="A23">
        <v>222</v>
      </c>
      <c r="B23" t="s">
        <v>84</v>
      </c>
      <c r="C23" t="s">
        <v>42</v>
      </c>
      <c r="D23" t="s">
        <v>83</v>
      </c>
    </row>
    <row r="24" spans="1:4" x14ac:dyDescent="0.25">
      <c r="A24">
        <v>223</v>
      </c>
      <c r="B24" t="s">
        <v>85</v>
      </c>
      <c r="C24" t="s">
        <v>42</v>
      </c>
      <c r="D24" t="s">
        <v>83</v>
      </c>
    </row>
    <row r="25" spans="1:4" x14ac:dyDescent="0.25">
      <c r="A25">
        <v>229</v>
      </c>
      <c r="B25" t="s">
        <v>86</v>
      </c>
      <c r="C25" t="s">
        <v>42</v>
      </c>
      <c r="D25" t="s">
        <v>83</v>
      </c>
    </row>
    <row r="26" spans="1:4" x14ac:dyDescent="0.25">
      <c r="A26">
        <v>230</v>
      </c>
      <c r="B26" t="s">
        <v>87</v>
      </c>
      <c r="C26" t="s">
        <v>43</v>
      </c>
      <c r="D26" t="s">
        <v>83</v>
      </c>
    </row>
    <row r="27" spans="1:4" x14ac:dyDescent="0.25">
      <c r="A27">
        <v>231</v>
      </c>
      <c r="B27" t="s">
        <v>88</v>
      </c>
      <c r="C27" t="s">
        <v>43</v>
      </c>
      <c r="D27" t="s">
        <v>83</v>
      </c>
    </row>
    <row r="28" spans="1:4" x14ac:dyDescent="0.25">
      <c r="A28">
        <v>232</v>
      </c>
      <c r="B28" t="s">
        <v>89</v>
      </c>
      <c r="C28" t="s">
        <v>43</v>
      </c>
      <c r="D28" t="s">
        <v>83</v>
      </c>
    </row>
    <row r="29" spans="1:4" x14ac:dyDescent="0.25">
      <c r="A29">
        <v>233</v>
      </c>
      <c r="B29" t="s">
        <v>90</v>
      </c>
      <c r="C29" t="s">
        <v>43</v>
      </c>
      <c r="D29" t="s">
        <v>83</v>
      </c>
    </row>
    <row r="30" spans="1:4" x14ac:dyDescent="0.25">
      <c r="A30">
        <v>234</v>
      </c>
      <c r="B30" t="s">
        <v>91</v>
      </c>
      <c r="C30" t="s">
        <v>43</v>
      </c>
      <c r="D30" t="s">
        <v>83</v>
      </c>
    </row>
    <row r="31" spans="1:4" x14ac:dyDescent="0.25">
      <c r="A31">
        <v>239</v>
      </c>
      <c r="B31" t="s">
        <v>92</v>
      </c>
      <c r="C31" t="s">
        <v>43</v>
      </c>
      <c r="D31" t="s">
        <v>83</v>
      </c>
    </row>
    <row r="32" spans="1:4" x14ac:dyDescent="0.25">
      <c r="A32">
        <v>290</v>
      </c>
      <c r="B32" t="s">
        <v>93</v>
      </c>
      <c r="C32" t="s">
        <v>44</v>
      </c>
      <c r="D32" t="s">
        <v>83</v>
      </c>
    </row>
    <row r="33" spans="1:4" x14ac:dyDescent="0.25">
      <c r="A33">
        <v>310</v>
      </c>
      <c r="B33" t="s">
        <v>94</v>
      </c>
      <c r="C33" t="s">
        <v>45</v>
      </c>
      <c r="D33" t="s">
        <v>95</v>
      </c>
    </row>
    <row r="34" spans="1:4" x14ac:dyDescent="0.25">
      <c r="A34">
        <v>311</v>
      </c>
      <c r="B34" t="s">
        <v>96</v>
      </c>
      <c r="C34" t="s">
        <v>45</v>
      </c>
      <c r="D34" t="s">
        <v>95</v>
      </c>
    </row>
    <row r="35" spans="1:4" x14ac:dyDescent="0.25">
      <c r="A35">
        <v>312</v>
      </c>
      <c r="B35" t="s">
        <v>97</v>
      </c>
      <c r="C35" t="s">
        <v>45</v>
      </c>
      <c r="D35" t="s">
        <v>95</v>
      </c>
    </row>
    <row r="36" spans="1:4" x14ac:dyDescent="0.25">
      <c r="A36">
        <v>313</v>
      </c>
      <c r="B36" t="s">
        <v>98</v>
      </c>
      <c r="C36" t="s">
        <v>45</v>
      </c>
      <c r="D36" t="s">
        <v>95</v>
      </c>
    </row>
    <row r="37" spans="1:4" x14ac:dyDescent="0.25">
      <c r="A37">
        <v>314</v>
      </c>
      <c r="B37" t="s">
        <v>99</v>
      </c>
      <c r="C37" t="s">
        <v>45</v>
      </c>
      <c r="D37" t="s">
        <v>95</v>
      </c>
    </row>
    <row r="38" spans="1:4" x14ac:dyDescent="0.25">
      <c r="A38">
        <v>315</v>
      </c>
      <c r="B38" t="s">
        <v>100</v>
      </c>
      <c r="C38" t="s">
        <v>45</v>
      </c>
      <c r="D38" t="s">
        <v>95</v>
      </c>
    </row>
    <row r="39" spans="1:4" x14ac:dyDescent="0.25">
      <c r="A39">
        <v>319</v>
      </c>
      <c r="B39" t="s">
        <v>101</v>
      </c>
      <c r="C39" t="s">
        <v>45</v>
      </c>
      <c r="D39" t="s">
        <v>95</v>
      </c>
    </row>
    <row r="40" spans="1:4" x14ac:dyDescent="0.25">
      <c r="A40">
        <v>320</v>
      </c>
      <c r="B40" t="s">
        <v>102</v>
      </c>
      <c r="C40" t="s">
        <v>103</v>
      </c>
      <c r="D40" t="s">
        <v>95</v>
      </c>
    </row>
    <row r="41" spans="1:4" x14ac:dyDescent="0.25">
      <c r="A41">
        <v>321</v>
      </c>
      <c r="B41" t="s">
        <v>104</v>
      </c>
      <c r="C41" t="s">
        <v>103</v>
      </c>
      <c r="D41" t="s">
        <v>95</v>
      </c>
    </row>
    <row r="42" spans="1:4" x14ac:dyDescent="0.25">
      <c r="A42">
        <v>322</v>
      </c>
      <c r="B42" t="s">
        <v>105</v>
      </c>
      <c r="C42" t="s">
        <v>103</v>
      </c>
      <c r="D42" t="s">
        <v>95</v>
      </c>
    </row>
    <row r="43" spans="1:4" x14ac:dyDescent="0.25">
      <c r="A43">
        <v>323</v>
      </c>
      <c r="B43" t="s">
        <v>106</v>
      </c>
      <c r="C43" t="s">
        <v>103</v>
      </c>
      <c r="D43" t="s">
        <v>95</v>
      </c>
    </row>
    <row r="44" spans="1:4" x14ac:dyDescent="0.25">
      <c r="A44">
        <v>324</v>
      </c>
      <c r="B44" t="s">
        <v>107</v>
      </c>
      <c r="C44" t="s">
        <v>103</v>
      </c>
      <c r="D44" t="s">
        <v>95</v>
      </c>
    </row>
    <row r="45" spans="1:4" x14ac:dyDescent="0.25">
      <c r="A45">
        <v>325</v>
      </c>
      <c r="B45" t="s">
        <v>108</v>
      </c>
      <c r="C45" t="s">
        <v>103</v>
      </c>
      <c r="D45" t="s">
        <v>95</v>
      </c>
    </row>
    <row r="46" spans="1:4" x14ac:dyDescent="0.25">
      <c r="A46">
        <v>329</v>
      </c>
      <c r="B46" t="s">
        <v>109</v>
      </c>
      <c r="C46" t="s">
        <v>103</v>
      </c>
      <c r="D46" t="s">
        <v>95</v>
      </c>
    </row>
    <row r="47" spans="1:4" x14ac:dyDescent="0.25">
      <c r="A47">
        <v>330</v>
      </c>
      <c r="B47" t="s">
        <v>110</v>
      </c>
      <c r="C47" t="s">
        <v>111</v>
      </c>
      <c r="D47" t="s">
        <v>95</v>
      </c>
    </row>
    <row r="48" spans="1:4" x14ac:dyDescent="0.25">
      <c r="A48">
        <v>331</v>
      </c>
      <c r="B48" t="s">
        <v>112</v>
      </c>
      <c r="C48" t="s">
        <v>111</v>
      </c>
      <c r="D48" t="s">
        <v>95</v>
      </c>
    </row>
    <row r="49" spans="1:4" x14ac:dyDescent="0.25">
      <c r="A49">
        <v>332</v>
      </c>
      <c r="B49" t="s">
        <v>113</v>
      </c>
      <c r="C49" t="s">
        <v>111</v>
      </c>
      <c r="D49" t="s">
        <v>95</v>
      </c>
    </row>
    <row r="50" spans="1:4" x14ac:dyDescent="0.25">
      <c r="A50">
        <v>333</v>
      </c>
      <c r="B50" t="s">
        <v>114</v>
      </c>
      <c r="C50" t="s">
        <v>111</v>
      </c>
      <c r="D50" t="s">
        <v>95</v>
      </c>
    </row>
    <row r="51" spans="1:4" x14ac:dyDescent="0.25">
      <c r="A51">
        <v>334</v>
      </c>
      <c r="B51" t="s">
        <v>115</v>
      </c>
      <c r="C51" t="s">
        <v>111</v>
      </c>
      <c r="D51" t="s">
        <v>95</v>
      </c>
    </row>
    <row r="52" spans="1:4" x14ac:dyDescent="0.25">
      <c r="A52">
        <v>339</v>
      </c>
      <c r="B52" t="s">
        <v>116</v>
      </c>
      <c r="C52" t="s">
        <v>111</v>
      </c>
      <c r="D52" t="s">
        <v>95</v>
      </c>
    </row>
    <row r="53" spans="1:4" x14ac:dyDescent="0.25">
      <c r="A53">
        <v>390</v>
      </c>
      <c r="B53" t="s">
        <v>117</v>
      </c>
      <c r="C53" t="s">
        <v>118</v>
      </c>
      <c r="D53" t="s">
        <v>83</v>
      </c>
    </row>
    <row r="54" spans="1:4" x14ac:dyDescent="0.25">
      <c r="A54">
        <v>410</v>
      </c>
      <c r="B54" t="s">
        <v>119</v>
      </c>
      <c r="C54" t="s">
        <v>120</v>
      </c>
      <c r="D54" t="s">
        <v>68</v>
      </c>
    </row>
    <row r="55" spans="1:4" x14ac:dyDescent="0.25">
      <c r="A55">
        <v>411</v>
      </c>
      <c r="B55" t="s">
        <v>121</v>
      </c>
      <c r="C55" t="s">
        <v>120</v>
      </c>
      <c r="D55" t="s">
        <v>68</v>
      </c>
    </row>
    <row r="56" spans="1:4" x14ac:dyDescent="0.25">
      <c r="A56">
        <v>412</v>
      </c>
      <c r="B56" t="s">
        <v>122</v>
      </c>
      <c r="C56" t="s">
        <v>120</v>
      </c>
      <c r="D56" t="s">
        <v>68</v>
      </c>
    </row>
    <row r="57" spans="1:4" x14ac:dyDescent="0.25">
      <c r="A57">
        <v>413</v>
      </c>
      <c r="B57" t="s">
        <v>123</v>
      </c>
      <c r="C57" t="s">
        <v>120</v>
      </c>
      <c r="D57" t="s">
        <v>68</v>
      </c>
    </row>
    <row r="58" spans="1:4" x14ac:dyDescent="0.25">
      <c r="A58">
        <v>414</v>
      </c>
      <c r="B58" t="s">
        <v>124</v>
      </c>
      <c r="C58" t="s">
        <v>120</v>
      </c>
      <c r="D58" t="s">
        <v>68</v>
      </c>
    </row>
    <row r="59" spans="1:4" x14ac:dyDescent="0.25">
      <c r="A59">
        <v>415</v>
      </c>
      <c r="B59" t="s">
        <v>125</v>
      </c>
      <c r="C59" t="s">
        <v>120</v>
      </c>
      <c r="D59" t="s">
        <v>68</v>
      </c>
    </row>
    <row r="60" spans="1:4" x14ac:dyDescent="0.25">
      <c r="A60">
        <v>416</v>
      </c>
      <c r="B60" t="s">
        <v>126</v>
      </c>
      <c r="C60" t="s">
        <v>120</v>
      </c>
      <c r="D60" t="s">
        <v>68</v>
      </c>
    </row>
    <row r="61" spans="1:4" x14ac:dyDescent="0.25">
      <c r="A61">
        <v>419</v>
      </c>
      <c r="B61" t="s">
        <v>127</v>
      </c>
      <c r="C61" t="s">
        <v>120</v>
      </c>
      <c r="D61" t="s">
        <v>68</v>
      </c>
    </row>
    <row r="62" spans="1:4" x14ac:dyDescent="0.25">
      <c r="A62">
        <v>420</v>
      </c>
      <c r="B62" t="s">
        <v>128</v>
      </c>
      <c r="C62" t="s">
        <v>129</v>
      </c>
      <c r="D62" t="s">
        <v>68</v>
      </c>
    </row>
    <row r="63" spans="1:4" x14ac:dyDescent="0.25">
      <c r="A63">
        <v>421</v>
      </c>
      <c r="B63" t="s">
        <v>130</v>
      </c>
      <c r="C63" t="s">
        <v>129</v>
      </c>
      <c r="D63" t="s">
        <v>68</v>
      </c>
    </row>
    <row r="64" spans="1:4" x14ac:dyDescent="0.25">
      <c r="A64">
        <v>422</v>
      </c>
      <c r="B64" t="s">
        <v>131</v>
      </c>
      <c r="C64" t="s">
        <v>129</v>
      </c>
      <c r="D64" t="s">
        <v>68</v>
      </c>
    </row>
    <row r="65" spans="1:4" x14ac:dyDescent="0.25">
      <c r="A65">
        <v>429</v>
      </c>
      <c r="B65" t="s">
        <v>132</v>
      </c>
      <c r="C65" t="s">
        <v>129</v>
      </c>
      <c r="D65" t="s">
        <v>68</v>
      </c>
    </row>
    <row r="66" spans="1:4" x14ac:dyDescent="0.25">
      <c r="A66">
        <v>430</v>
      </c>
      <c r="B66" t="s">
        <v>133</v>
      </c>
      <c r="C66" t="s">
        <v>134</v>
      </c>
      <c r="D66" t="s">
        <v>68</v>
      </c>
    </row>
    <row r="67" spans="1:4" x14ac:dyDescent="0.25">
      <c r="A67">
        <v>431</v>
      </c>
      <c r="B67" t="s">
        <v>135</v>
      </c>
      <c r="C67" t="s">
        <v>134</v>
      </c>
      <c r="D67" t="s">
        <v>68</v>
      </c>
    </row>
    <row r="68" spans="1:4" x14ac:dyDescent="0.25">
      <c r="A68">
        <v>432</v>
      </c>
      <c r="B68" t="s">
        <v>136</v>
      </c>
      <c r="C68" t="s">
        <v>134</v>
      </c>
      <c r="D68" t="s">
        <v>68</v>
      </c>
    </row>
    <row r="69" spans="1:4" x14ac:dyDescent="0.25">
      <c r="A69">
        <v>433</v>
      </c>
      <c r="B69" t="s">
        <v>137</v>
      </c>
      <c r="C69" t="s">
        <v>134</v>
      </c>
      <c r="D69" t="s">
        <v>68</v>
      </c>
    </row>
    <row r="70" spans="1:4" x14ac:dyDescent="0.25">
      <c r="A70">
        <v>439</v>
      </c>
      <c r="B70" t="s">
        <v>138</v>
      </c>
      <c r="C70" t="s">
        <v>134</v>
      </c>
      <c r="D70" t="s">
        <v>68</v>
      </c>
    </row>
    <row r="71" spans="1:4" x14ac:dyDescent="0.25">
      <c r="A71">
        <v>440</v>
      </c>
      <c r="B71" t="s">
        <v>139</v>
      </c>
      <c r="C71" t="s">
        <v>139</v>
      </c>
      <c r="D71" t="s">
        <v>68</v>
      </c>
    </row>
    <row r="72" spans="1:4" x14ac:dyDescent="0.25">
      <c r="A72">
        <v>441</v>
      </c>
      <c r="B72" t="s">
        <v>33</v>
      </c>
      <c r="C72" t="s">
        <v>139</v>
      </c>
      <c r="D72" t="s">
        <v>68</v>
      </c>
    </row>
    <row r="73" spans="1:4" x14ac:dyDescent="0.25">
      <c r="A73">
        <v>442</v>
      </c>
      <c r="B73" t="s">
        <v>140</v>
      </c>
      <c r="C73" t="s">
        <v>139</v>
      </c>
      <c r="D73" t="s">
        <v>68</v>
      </c>
    </row>
    <row r="74" spans="1:4" x14ac:dyDescent="0.25">
      <c r="A74">
        <v>443</v>
      </c>
      <c r="B74" t="s">
        <v>141</v>
      </c>
      <c r="C74" t="s">
        <v>139</v>
      </c>
      <c r="D74" t="s">
        <v>68</v>
      </c>
    </row>
    <row r="75" spans="1:4" x14ac:dyDescent="0.25">
      <c r="A75">
        <v>444</v>
      </c>
      <c r="B75" t="s">
        <v>142</v>
      </c>
      <c r="C75" t="s">
        <v>139</v>
      </c>
      <c r="D75" t="s">
        <v>68</v>
      </c>
    </row>
    <row r="76" spans="1:4" x14ac:dyDescent="0.25">
      <c r="A76">
        <v>449</v>
      </c>
      <c r="B76" t="s">
        <v>143</v>
      </c>
      <c r="C76" t="s">
        <v>139</v>
      </c>
      <c r="D76" t="s">
        <v>68</v>
      </c>
    </row>
    <row r="77" spans="1:4" x14ac:dyDescent="0.25">
      <c r="A77">
        <v>490</v>
      </c>
      <c r="B77" t="s">
        <v>144</v>
      </c>
      <c r="C77" t="s">
        <v>144</v>
      </c>
      <c r="D77" t="s">
        <v>68</v>
      </c>
    </row>
    <row r="78" spans="1:4" x14ac:dyDescent="0.25">
      <c r="A78">
        <v>510</v>
      </c>
      <c r="B78" t="s">
        <v>145</v>
      </c>
      <c r="C78" t="s">
        <v>145</v>
      </c>
      <c r="D78" t="s">
        <v>58</v>
      </c>
    </row>
    <row r="79" spans="1:4" x14ac:dyDescent="0.25">
      <c r="A79">
        <v>520</v>
      </c>
      <c r="B79" t="s">
        <v>146</v>
      </c>
      <c r="C79" t="s">
        <v>146</v>
      </c>
      <c r="D79" t="s">
        <v>68</v>
      </c>
    </row>
    <row r="80" spans="1:4" x14ac:dyDescent="0.25">
      <c r="A80">
        <v>521</v>
      </c>
      <c r="B80" t="s">
        <v>147</v>
      </c>
      <c r="C80" t="s">
        <v>146</v>
      </c>
      <c r="D80" t="s">
        <v>95</v>
      </c>
    </row>
    <row r="81" spans="1:4" x14ac:dyDescent="0.25">
      <c r="A81">
        <v>522</v>
      </c>
      <c r="B81" t="s">
        <v>148</v>
      </c>
      <c r="C81" t="s">
        <v>146</v>
      </c>
      <c r="D81" t="s">
        <v>58</v>
      </c>
    </row>
    <row r="82" spans="1:4" x14ac:dyDescent="0.25">
      <c r="A82">
        <v>529</v>
      </c>
      <c r="B82" t="s">
        <v>149</v>
      </c>
      <c r="C82" t="s">
        <v>146</v>
      </c>
      <c r="D82" t="s">
        <v>68</v>
      </c>
    </row>
    <row r="83" spans="1:4" x14ac:dyDescent="0.25">
      <c r="A83">
        <v>530</v>
      </c>
      <c r="B83" t="s">
        <v>150</v>
      </c>
      <c r="C83" t="s">
        <v>150</v>
      </c>
      <c r="D83" t="s">
        <v>68</v>
      </c>
    </row>
    <row r="84" spans="1:4" x14ac:dyDescent="0.25">
      <c r="A84">
        <v>531</v>
      </c>
      <c r="B84" t="s">
        <v>151</v>
      </c>
      <c r="C84" t="s">
        <v>150</v>
      </c>
      <c r="D84" t="s">
        <v>68</v>
      </c>
    </row>
    <row r="85" spans="1:4" x14ac:dyDescent="0.25">
      <c r="A85">
        <v>532</v>
      </c>
      <c r="B85" t="s">
        <v>152</v>
      </c>
      <c r="C85" t="s">
        <v>150</v>
      </c>
      <c r="D85" t="s">
        <v>68</v>
      </c>
    </row>
    <row r="86" spans="1:4" x14ac:dyDescent="0.25">
      <c r="A86">
        <v>533</v>
      </c>
      <c r="B86" t="s">
        <v>153</v>
      </c>
      <c r="C86" t="s">
        <v>150</v>
      </c>
      <c r="D86" t="s">
        <v>68</v>
      </c>
    </row>
    <row r="87" spans="1:4" x14ac:dyDescent="0.25">
      <c r="A87">
        <v>534</v>
      </c>
      <c r="B87" t="s">
        <v>154</v>
      </c>
      <c r="C87" t="s">
        <v>150</v>
      </c>
      <c r="D87" t="s">
        <v>68</v>
      </c>
    </row>
    <row r="88" spans="1:4" x14ac:dyDescent="0.25">
      <c r="A88">
        <v>535</v>
      </c>
      <c r="B88" t="s">
        <v>155</v>
      </c>
      <c r="C88" t="s">
        <v>150</v>
      </c>
      <c r="D88" t="s">
        <v>68</v>
      </c>
    </row>
    <row r="89" spans="1:4" x14ac:dyDescent="0.25">
      <c r="A89">
        <v>539</v>
      </c>
      <c r="B89" t="s">
        <v>156</v>
      </c>
      <c r="C89" t="s">
        <v>150</v>
      </c>
      <c r="D89" t="s">
        <v>68</v>
      </c>
    </row>
    <row r="90" spans="1:4" x14ac:dyDescent="0.25">
      <c r="A90">
        <v>540</v>
      </c>
      <c r="B90" t="s">
        <v>38</v>
      </c>
      <c r="C90" t="s">
        <v>157</v>
      </c>
      <c r="D90" t="s">
        <v>58</v>
      </c>
    </row>
    <row r="91" spans="1:4" x14ac:dyDescent="0.25">
      <c r="A91">
        <v>585</v>
      </c>
      <c r="B91" t="s">
        <v>158</v>
      </c>
      <c r="C91" t="s">
        <v>157</v>
      </c>
      <c r="D91" t="s">
        <v>58</v>
      </c>
    </row>
    <row r="92" spans="1:4" x14ac:dyDescent="0.25">
      <c r="A92">
        <v>590</v>
      </c>
      <c r="B92" t="s">
        <v>159</v>
      </c>
      <c r="C92" t="s">
        <v>160</v>
      </c>
      <c r="D92" t="s">
        <v>68</v>
      </c>
    </row>
    <row r="93" spans="1:4" x14ac:dyDescent="0.25">
      <c r="A93">
        <v>910</v>
      </c>
      <c r="B93" t="s">
        <v>218</v>
      </c>
      <c r="C93" t="s">
        <v>227</v>
      </c>
      <c r="D93" t="s">
        <v>227</v>
      </c>
    </row>
    <row r="94" spans="1:4" x14ac:dyDescent="0.25">
      <c r="A94">
        <v>920</v>
      </c>
      <c r="B94" t="s">
        <v>219</v>
      </c>
      <c r="C94" t="s">
        <v>227</v>
      </c>
      <c r="D94" t="s">
        <v>227</v>
      </c>
    </row>
    <row r="95" spans="1:4" x14ac:dyDescent="0.25">
      <c r="A95">
        <v>930</v>
      </c>
      <c r="B95" t="s">
        <v>220</v>
      </c>
      <c r="C95" t="s">
        <v>227</v>
      </c>
      <c r="D95" t="s">
        <v>227</v>
      </c>
    </row>
    <row r="96" spans="1:4" x14ac:dyDescent="0.25">
      <c r="A96">
        <v>940</v>
      </c>
      <c r="B96" t="s">
        <v>221</v>
      </c>
      <c r="C96" t="s">
        <v>227</v>
      </c>
      <c r="D96" t="s">
        <v>227</v>
      </c>
    </row>
    <row r="97" spans="1:4" x14ac:dyDescent="0.25">
      <c r="A97">
        <v>950</v>
      </c>
      <c r="B97" t="s">
        <v>222</v>
      </c>
      <c r="C97" t="s">
        <v>227</v>
      </c>
      <c r="D97" t="s">
        <v>227</v>
      </c>
    </row>
    <row r="98" spans="1:4" x14ac:dyDescent="0.25">
      <c r="A98">
        <v>960</v>
      </c>
      <c r="B98" t="s">
        <v>223</v>
      </c>
      <c r="C98" t="s">
        <v>227</v>
      </c>
      <c r="D98" t="s">
        <v>227</v>
      </c>
    </row>
    <row r="99" spans="1:4" x14ac:dyDescent="0.25">
      <c r="A99">
        <v>970</v>
      </c>
      <c r="B99" t="s">
        <v>224</v>
      </c>
      <c r="C99" t="s">
        <v>227</v>
      </c>
      <c r="D99" t="s">
        <v>227</v>
      </c>
    </row>
    <row r="100" spans="1:4" x14ac:dyDescent="0.25">
      <c r="A100">
        <v>990</v>
      </c>
      <c r="B100" t="s">
        <v>225</v>
      </c>
      <c r="C100" t="s">
        <v>227</v>
      </c>
      <c r="D100" t="s">
        <v>227</v>
      </c>
    </row>
    <row r="101" spans="1:4" x14ac:dyDescent="0.25">
      <c r="A101">
        <v>999</v>
      </c>
      <c r="B101" t="s">
        <v>226</v>
      </c>
      <c r="C101" t="s">
        <v>227</v>
      </c>
      <c r="D101" t="s">
        <v>227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0"/>
  </sheetPr>
  <dimension ref="A1:B8"/>
  <sheetViews>
    <sheetView workbookViewId="0">
      <selection activeCell="E24" sqref="E24"/>
    </sheetView>
  </sheetViews>
  <sheetFormatPr defaultRowHeight="15" x14ac:dyDescent="0.25"/>
  <cols>
    <col min="2" max="2" width="66" bestFit="1" customWidth="1"/>
  </cols>
  <sheetData>
    <row r="1" spans="1:2" x14ac:dyDescent="0.25">
      <c r="A1">
        <v>1</v>
      </c>
      <c r="B1" t="s">
        <v>161</v>
      </c>
    </row>
    <row r="2" spans="1:2" x14ac:dyDescent="0.25">
      <c r="A2">
        <v>2</v>
      </c>
      <c r="B2" t="s">
        <v>162</v>
      </c>
    </row>
    <row r="3" spans="1:2" x14ac:dyDescent="0.25">
      <c r="A3">
        <v>3</v>
      </c>
      <c r="B3" t="s">
        <v>163</v>
      </c>
    </row>
    <row r="4" spans="1:2" x14ac:dyDescent="0.25">
      <c r="A4">
        <v>5</v>
      </c>
      <c r="B4" t="s">
        <v>164</v>
      </c>
    </row>
    <row r="5" spans="1:2" x14ac:dyDescent="0.25">
      <c r="A5">
        <v>6</v>
      </c>
      <c r="B5" t="s">
        <v>165</v>
      </c>
    </row>
    <row r="6" spans="1:2" x14ac:dyDescent="0.25">
      <c r="A6">
        <v>7</v>
      </c>
      <c r="B6" t="s">
        <v>166</v>
      </c>
    </row>
    <row r="7" spans="1:2" x14ac:dyDescent="0.25">
      <c r="A7">
        <v>8</v>
      </c>
      <c r="B7" t="s">
        <v>167</v>
      </c>
    </row>
    <row r="8" spans="1:2" x14ac:dyDescent="0.25">
      <c r="A8">
        <v>9</v>
      </c>
      <c r="B8" t="s">
        <v>168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0"/>
  </sheetPr>
  <dimension ref="A1:K11"/>
  <sheetViews>
    <sheetView workbookViewId="0">
      <selection activeCell="E10" sqref="E10"/>
    </sheetView>
  </sheetViews>
  <sheetFormatPr defaultRowHeight="15" x14ac:dyDescent="0.25"/>
  <cols>
    <col min="1" max="1" width="3" bestFit="1" customWidth="1"/>
    <col min="2" max="2" width="66" bestFit="1" customWidth="1"/>
    <col min="3" max="5" width="22.42578125" bestFit="1" customWidth="1"/>
    <col min="6" max="6" width="49.28515625" bestFit="1" customWidth="1"/>
    <col min="7" max="7" width="36.85546875" bestFit="1" customWidth="1"/>
    <col min="8" max="9" width="22.42578125" bestFit="1" customWidth="1"/>
    <col min="10" max="10" width="58.85546875" bestFit="1" customWidth="1"/>
    <col min="11" max="11" width="22.42578125" bestFit="1" customWidth="1"/>
  </cols>
  <sheetData>
    <row r="1" spans="1:11" x14ac:dyDescent="0.25">
      <c r="C1">
        <v>0</v>
      </c>
      <c r="D1">
        <v>1</v>
      </c>
      <c r="E1">
        <v>2</v>
      </c>
      <c r="F1">
        <v>3</v>
      </c>
      <c r="G1">
        <v>4</v>
      </c>
      <c r="H1">
        <v>6</v>
      </c>
      <c r="I1">
        <v>7</v>
      </c>
      <c r="J1">
        <v>9</v>
      </c>
    </row>
    <row r="2" spans="1:11" x14ac:dyDescent="0.25">
      <c r="D2" t="s">
        <v>46</v>
      </c>
      <c r="E2" t="s">
        <v>47</v>
      </c>
      <c r="F2" t="s">
        <v>48</v>
      </c>
      <c r="G2" t="s">
        <v>49</v>
      </c>
      <c r="H2" t="s">
        <v>50</v>
      </c>
      <c r="I2" t="s">
        <v>51</v>
      </c>
      <c r="J2" t="s">
        <v>52</v>
      </c>
      <c r="K2" t="s">
        <v>53</v>
      </c>
    </row>
    <row r="3" spans="1:11" x14ac:dyDescent="0.25">
      <c r="A3">
        <v>1</v>
      </c>
      <c r="B3" t="s">
        <v>161</v>
      </c>
      <c r="C3" t="s">
        <v>169</v>
      </c>
      <c r="D3" t="s">
        <v>169</v>
      </c>
      <c r="E3" t="s">
        <v>169</v>
      </c>
      <c r="F3" t="s">
        <v>169</v>
      </c>
      <c r="G3" t="s">
        <v>169</v>
      </c>
      <c r="H3" t="s">
        <v>169</v>
      </c>
      <c r="I3" t="s">
        <v>169</v>
      </c>
      <c r="J3" t="s">
        <v>169</v>
      </c>
      <c r="K3" t="s">
        <v>169</v>
      </c>
    </row>
    <row r="4" spans="1:11" x14ac:dyDescent="0.25">
      <c r="A4">
        <v>2</v>
      </c>
      <c r="B4" t="s">
        <v>162</v>
      </c>
      <c r="C4" t="s">
        <v>170</v>
      </c>
      <c r="D4" t="s">
        <v>170</v>
      </c>
      <c r="E4" t="s">
        <v>51</v>
      </c>
      <c r="F4" t="s">
        <v>170</v>
      </c>
      <c r="G4" t="s">
        <v>171</v>
      </c>
      <c r="H4" t="s">
        <v>171</v>
      </c>
      <c r="I4" t="s">
        <v>51</v>
      </c>
      <c r="J4" t="s">
        <v>171</v>
      </c>
      <c r="K4" t="s">
        <v>170</v>
      </c>
    </row>
    <row r="5" spans="1:11" x14ac:dyDescent="0.25">
      <c r="A5">
        <v>3</v>
      </c>
      <c r="B5" t="s">
        <v>163</v>
      </c>
      <c r="C5" t="s">
        <v>171</v>
      </c>
      <c r="D5" t="s">
        <v>171</v>
      </c>
      <c r="E5" t="s">
        <v>51</v>
      </c>
      <c r="F5" t="s">
        <v>170</v>
      </c>
      <c r="G5" t="s">
        <v>171</v>
      </c>
      <c r="H5" t="s">
        <v>171</v>
      </c>
      <c r="I5" t="s">
        <v>51</v>
      </c>
      <c r="J5" t="s">
        <v>171</v>
      </c>
      <c r="K5" t="s">
        <v>171</v>
      </c>
    </row>
    <row r="6" spans="1:11" x14ac:dyDescent="0.25">
      <c r="A6">
        <v>5</v>
      </c>
      <c r="B6" t="s">
        <v>164</v>
      </c>
      <c r="C6" t="s">
        <v>164</v>
      </c>
      <c r="D6" t="s">
        <v>164</v>
      </c>
      <c r="E6" t="s">
        <v>164</v>
      </c>
      <c r="F6" t="s">
        <v>164</v>
      </c>
      <c r="G6" t="s">
        <v>164</v>
      </c>
      <c r="H6" t="s">
        <v>164</v>
      </c>
      <c r="I6" t="s">
        <v>164</v>
      </c>
      <c r="J6" t="s">
        <v>164</v>
      </c>
      <c r="K6" t="s">
        <v>164</v>
      </c>
    </row>
    <row r="7" spans="1:11" x14ac:dyDescent="0.25">
      <c r="A7">
        <v>6</v>
      </c>
      <c r="B7" t="s">
        <v>165</v>
      </c>
      <c r="C7" t="s">
        <v>170</v>
      </c>
      <c r="D7" t="s">
        <v>170</v>
      </c>
      <c r="E7" t="s">
        <v>51</v>
      </c>
      <c r="F7" t="s">
        <v>170</v>
      </c>
      <c r="G7" t="s">
        <v>171</v>
      </c>
      <c r="H7" t="s">
        <v>171</v>
      </c>
      <c r="I7" t="s">
        <v>51</v>
      </c>
      <c r="J7" t="s">
        <v>171</v>
      </c>
      <c r="K7" t="s">
        <v>170</v>
      </c>
    </row>
    <row r="8" spans="1:11" x14ac:dyDescent="0.25">
      <c r="A8">
        <v>7</v>
      </c>
      <c r="B8" t="s">
        <v>166</v>
      </c>
      <c r="C8" t="s">
        <v>172</v>
      </c>
      <c r="D8" t="s">
        <v>172</v>
      </c>
      <c r="E8" t="s">
        <v>51</v>
      </c>
      <c r="F8" t="s">
        <v>170</v>
      </c>
      <c r="G8" t="s">
        <v>171</v>
      </c>
      <c r="H8" t="s">
        <v>171</v>
      </c>
      <c r="I8" t="s">
        <v>51</v>
      </c>
      <c r="J8" t="s">
        <v>172</v>
      </c>
      <c r="K8" t="s">
        <v>172</v>
      </c>
    </row>
    <row r="9" spans="1:11" x14ac:dyDescent="0.25">
      <c r="A9">
        <v>8</v>
      </c>
      <c r="B9" t="s">
        <v>167</v>
      </c>
      <c r="C9" t="s">
        <v>51</v>
      </c>
      <c r="D9" t="s">
        <v>51</v>
      </c>
      <c r="E9" t="s">
        <v>51</v>
      </c>
      <c r="F9" t="s">
        <v>51</v>
      </c>
      <c r="G9" t="s">
        <v>51</v>
      </c>
      <c r="H9" t="s">
        <v>51</v>
      </c>
      <c r="I9" t="s">
        <v>51</v>
      </c>
      <c r="J9" t="s">
        <v>51</v>
      </c>
      <c r="K9" t="s">
        <v>51</v>
      </c>
    </row>
    <row r="10" spans="1:11" x14ac:dyDescent="0.25">
      <c r="A10">
        <v>9</v>
      </c>
      <c r="B10" t="s">
        <v>168</v>
      </c>
      <c r="C10" t="s">
        <v>173</v>
      </c>
      <c r="D10" t="s">
        <v>172</v>
      </c>
      <c r="E10" t="s">
        <v>51</v>
      </c>
      <c r="F10" t="s">
        <v>173</v>
      </c>
      <c r="G10" t="s">
        <v>173</v>
      </c>
      <c r="H10" t="s">
        <v>171</v>
      </c>
      <c r="I10" t="s">
        <v>51</v>
      </c>
      <c r="J10" t="s">
        <v>173</v>
      </c>
      <c r="K10" t="s">
        <v>173</v>
      </c>
    </row>
    <row r="11" spans="1:11" x14ac:dyDescent="0.25">
      <c r="A11">
        <v>99</v>
      </c>
      <c r="B11" t="s">
        <v>209</v>
      </c>
      <c r="C11" t="s">
        <v>174</v>
      </c>
      <c r="D11" t="s">
        <v>164</v>
      </c>
      <c r="E11" t="s">
        <v>51</v>
      </c>
      <c r="F11" t="s">
        <v>170</v>
      </c>
      <c r="G11" t="s">
        <v>171</v>
      </c>
      <c r="H11" t="s">
        <v>171</v>
      </c>
      <c r="I11" t="s">
        <v>51</v>
      </c>
      <c r="J11" t="s">
        <v>174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4FA70-FC09-4332-812E-42258DD84393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6E0D2-68D5-46B5-B8DB-6A764658FF69}">
  <sheetPr>
    <tabColor theme="4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Energi</vt:lpstr>
      <vt:lpstr>MWhSum</vt:lpstr>
      <vt:lpstr>Antal</vt:lpstr>
      <vt:lpstr>SBi</vt:lpstr>
      <vt:lpstr>SBiTab</vt:lpstr>
      <vt:lpstr>VpD</vt:lpstr>
      <vt:lpstr>Opvarmningsmiddel</vt:lpstr>
      <vt:lpstr>Anvendelseskode</vt:lpstr>
      <vt:lpstr>Varmeinstallation</vt:lpstr>
      <vt:lpstr>Relationstabel</vt:lpstr>
      <vt:lpstr>Omraader</vt:lpstr>
      <vt:lpstr>BygningOmraade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Joakim Larsen</cp:lastModifiedBy>
  <dcterms:created xsi:type="dcterms:W3CDTF">2019-01-17T08:32:49Z</dcterms:created>
  <dcterms:modified xsi:type="dcterms:W3CDTF">2020-03-13T14:37:06Z</dcterms:modified>
</cp:coreProperties>
</file>